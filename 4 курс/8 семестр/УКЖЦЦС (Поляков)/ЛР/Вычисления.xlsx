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OneDrive\Рабочий стол\Качество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3" i="1" l="1"/>
  <c r="G234" i="1"/>
  <c r="G236" i="1"/>
  <c r="G245" i="1"/>
  <c r="G235" i="1"/>
  <c r="H222" i="1"/>
  <c r="L207" i="1"/>
  <c r="G248" i="1"/>
  <c r="G247" i="1"/>
  <c r="G246" i="1"/>
  <c r="H226" i="1"/>
  <c r="H225" i="1"/>
  <c r="H224" i="1"/>
  <c r="H223" i="1"/>
  <c r="L215" i="1"/>
  <c r="L214" i="1"/>
  <c r="L213" i="1"/>
  <c r="L212" i="1"/>
  <c r="L211" i="1"/>
  <c r="L210" i="1"/>
  <c r="L209" i="1"/>
  <c r="L208" i="1"/>
  <c r="G250" i="1" l="1"/>
  <c r="H245" i="1" s="1"/>
  <c r="G238" i="1"/>
  <c r="L217" i="1"/>
  <c r="H228" i="1"/>
  <c r="M194" i="1"/>
  <c r="L192" i="1"/>
  <c r="L185" i="1"/>
  <c r="L186" i="1"/>
  <c r="L187" i="1"/>
  <c r="L188" i="1"/>
  <c r="L189" i="1"/>
  <c r="L190" i="1"/>
  <c r="L191" i="1"/>
  <c r="L184" i="1"/>
  <c r="I180" i="1"/>
  <c r="I175" i="1"/>
  <c r="I176" i="1"/>
  <c r="I177" i="1"/>
  <c r="I178" i="1"/>
  <c r="I174" i="1"/>
  <c r="H180" i="1"/>
  <c r="H175" i="1"/>
  <c r="H176" i="1"/>
  <c r="H177" i="1"/>
  <c r="H178" i="1"/>
  <c r="H174" i="1"/>
  <c r="M215" i="1" l="1"/>
  <c r="M207" i="1"/>
  <c r="M209" i="1"/>
  <c r="M210" i="1"/>
  <c r="M213" i="1"/>
  <c r="M214" i="1"/>
  <c r="M211" i="1"/>
  <c r="M212" i="1"/>
  <c r="M208" i="1"/>
  <c r="I222" i="1"/>
  <c r="I224" i="1"/>
  <c r="I225" i="1"/>
  <c r="I226" i="1"/>
  <c r="I223" i="1"/>
  <c r="H234" i="1"/>
  <c r="H235" i="1"/>
  <c r="H233" i="1"/>
  <c r="H236" i="1"/>
  <c r="H246" i="1"/>
  <c r="H247" i="1"/>
  <c r="H248" i="1"/>
  <c r="L194" i="1"/>
  <c r="M189" i="1" s="1"/>
  <c r="M125" i="1"/>
  <c r="M126" i="1"/>
  <c r="L126" i="1"/>
  <c r="L125" i="1"/>
  <c r="K126" i="1"/>
  <c r="K124" i="1"/>
  <c r="M217" i="1" l="1"/>
  <c r="H238" i="1"/>
  <c r="I228" i="1"/>
  <c r="H250" i="1"/>
  <c r="M187" i="1"/>
  <c r="M191" i="1"/>
  <c r="M185" i="1"/>
  <c r="M192" i="1"/>
  <c r="M184" i="1"/>
  <c r="M186" i="1"/>
  <c r="M188" i="1"/>
  <c r="M190" i="1"/>
  <c r="I166" i="1"/>
  <c r="I165" i="1"/>
  <c r="I164" i="1"/>
  <c r="F164" i="1"/>
  <c r="G159" i="1" s="1"/>
  <c r="H159" i="1" s="1"/>
  <c r="G145" i="1"/>
  <c r="F159" i="1"/>
  <c r="F158" i="1"/>
  <c r="D161" i="1"/>
  <c r="C161" i="1"/>
  <c r="I152" i="1"/>
  <c r="I150" i="1"/>
  <c r="G146" i="1"/>
  <c r="G144" i="1"/>
  <c r="F145" i="1"/>
  <c r="F146" i="1"/>
  <c r="F144" i="1"/>
  <c r="D147" i="1"/>
  <c r="E147" i="1"/>
  <c r="C147" i="1"/>
  <c r="K123" i="1"/>
  <c r="D129" i="1"/>
  <c r="E129" i="1"/>
  <c r="F129" i="1"/>
  <c r="G129" i="1"/>
  <c r="H129" i="1"/>
  <c r="I129" i="1"/>
  <c r="J129" i="1"/>
  <c r="C129" i="1"/>
  <c r="K128" i="1"/>
  <c r="K127" i="1"/>
  <c r="K125" i="1"/>
  <c r="J110" i="1"/>
  <c r="I110" i="1"/>
  <c r="H110" i="1"/>
  <c r="G110" i="1"/>
  <c r="F110" i="1"/>
  <c r="E110" i="1"/>
  <c r="D110" i="1"/>
  <c r="C110" i="1"/>
  <c r="K109" i="1"/>
  <c r="K108" i="1"/>
  <c r="K107" i="1"/>
  <c r="K106" i="1"/>
  <c r="K105" i="1"/>
  <c r="K104" i="1"/>
  <c r="K103" i="1"/>
  <c r="K102" i="1"/>
  <c r="G158" i="1" l="1"/>
  <c r="H158" i="1" s="1"/>
  <c r="J166" i="1"/>
  <c r="F150" i="1"/>
  <c r="H144" i="1"/>
  <c r="L104" i="1"/>
  <c r="M104" i="1" s="1"/>
  <c r="L105" i="1"/>
  <c r="M105" i="1" s="1"/>
  <c r="L106" i="1"/>
  <c r="M106" i="1" s="1"/>
  <c r="K135" i="1"/>
  <c r="K114" i="1"/>
  <c r="L86" i="1"/>
  <c r="K86" i="1"/>
  <c r="D61" i="1"/>
  <c r="G28" i="1"/>
  <c r="L107" i="1" l="1"/>
  <c r="M107" i="1" s="1"/>
  <c r="L108" i="1"/>
  <c r="M108" i="1" s="1"/>
  <c r="L109" i="1"/>
  <c r="M109" i="1" s="1"/>
  <c r="L103" i="1"/>
  <c r="M103" i="1" s="1"/>
  <c r="L123" i="1"/>
  <c r="M123" i="1" s="1"/>
  <c r="L127" i="1"/>
  <c r="L124" i="1"/>
  <c r="L128" i="1"/>
  <c r="L102" i="1"/>
  <c r="C87" i="1"/>
  <c r="D87" i="1"/>
  <c r="E87" i="1"/>
  <c r="F87" i="1"/>
  <c r="G87" i="1"/>
  <c r="H87" i="1"/>
  <c r="I87" i="1"/>
  <c r="J87" i="1"/>
  <c r="M86" i="1" s="1"/>
  <c r="K80" i="1"/>
  <c r="L80" i="1" s="1"/>
  <c r="K81" i="1"/>
  <c r="L81" i="1" s="1"/>
  <c r="M81" i="1" s="1"/>
  <c r="K82" i="1"/>
  <c r="L82" i="1" s="1"/>
  <c r="K83" i="1"/>
  <c r="L83" i="1" s="1"/>
  <c r="M83" i="1" s="1"/>
  <c r="K84" i="1"/>
  <c r="L84" i="1" s="1"/>
  <c r="M84" i="1" s="1"/>
  <c r="K85" i="1"/>
  <c r="L85" i="1" s="1"/>
  <c r="M85" i="1" s="1"/>
  <c r="K79" i="1"/>
  <c r="H72" i="1"/>
  <c r="F66" i="1"/>
  <c r="F67" i="1"/>
  <c r="F68" i="1"/>
  <c r="F69" i="1"/>
  <c r="F70" i="1"/>
  <c r="F71" i="1"/>
  <c r="F72" i="1"/>
  <c r="F65" i="1"/>
  <c r="E66" i="1"/>
  <c r="E67" i="1"/>
  <c r="E68" i="1"/>
  <c r="E69" i="1"/>
  <c r="E70" i="1"/>
  <c r="E71" i="1"/>
  <c r="E72" i="1"/>
  <c r="E65" i="1"/>
  <c r="D66" i="1"/>
  <c r="D67" i="1"/>
  <c r="D68" i="1"/>
  <c r="D69" i="1"/>
  <c r="D70" i="1"/>
  <c r="D71" i="1"/>
  <c r="D72" i="1"/>
  <c r="C68" i="1"/>
  <c r="H68" i="1" s="1"/>
  <c r="D65" i="1"/>
  <c r="H65" i="1" s="1"/>
  <c r="C66" i="1"/>
  <c r="H66" i="1" s="1"/>
  <c r="C67" i="1"/>
  <c r="H67" i="1" s="1"/>
  <c r="C69" i="1"/>
  <c r="H69" i="1" s="1"/>
  <c r="C70" i="1"/>
  <c r="H70" i="1" s="1"/>
  <c r="C71" i="1"/>
  <c r="H71" i="1" s="1"/>
  <c r="C72" i="1"/>
  <c r="C65" i="1"/>
  <c r="E61" i="1"/>
  <c r="F61" i="1"/>
  <c r="C61" i="1"/>
  <c r="J28" i="1"/>
  <c r="J23" i="1"/>
  <c r="J20" i="1"/>
  <c r="H23" i="1"/>
  <c r="G18" i="1"/>
  <c r="J18" i="1" s="1"/>
  <c r="G19" i="1"/>
  <c r="J19" i="1" s="1"/>
  <c r="G20" i="1"/>
  <c r="H20" i="1" s="1"/>
  <c r="G21" i="1"/>
  <c r="J21" i="1" s="1"/>
  <c r="G22" i="1"/>
  <c r="J22" i="1" s="1"/>
  <c r="G23" i="1"/>
  <c r="G24" i="1"/>
  <c r="H24" i="1" s="1"/>
  <c r="G17" i="1"/>
  <c r="J17" i="1" s="1"/>
  <c r="L131" i="1" l="1"/>
  <c r="H74" i="1"/>
  <c r="M80" i="1"/>
  <c r="H22" i="1"/>
  <c r="L79" i="1"/>
  <c r="K91" i="1"/>
  <c r="H21" i="1"/>
  <c r="H19" i="1"/>
  <c r="J24" i="1"/>
  <c r="J26" i="1" s="1"/>
  <c r="G26" i="1"/>
  <c r="H18" i="1"/>
  <c r="L110" i="1"/>
  <c r="M102" i="1"/>
  <c r="N112" i="1" s="1"/>
  <c r="N115" i="1" s="1"/>
  <c r="N117" i="1" s="1"/>
  <c r="O117" i="1" s="1"/>
  <c r="H17" i="1"/>
  <c r="M82" i="1"/>
  <c r="M79" i="1" l="1"/>
  <c r="N89" i="1" s="1"/>
  <c r="N92" i="1" s="1"/>
  <c r="N94" i="1" s="1"/>
  <c r="O94" i="1" s="1"/>
  <c r="L87" i="1"/>
  <c r="M128" i="1" l="1"/>
  <c r="M127" i="1"/>
  <c r="M124" i="1"/>
  <c r="N133" i="1" l="1"/>
  <c r="H146" i="1"/>
  <c r="H145" i="1"/>
  <c r="I151" i="1" s="1"/>
  <c r="J152" i="1" s="1"/>
  <c r="N136" i="1" l="1"/>
  <c r="N138" i="1" s="1"/>
  <c r="O138" i="1" s="1"/>
</calcChain>
</file>

<file path=xl/sharedStrings.xml><?xml version="1.0" encoding="utf-8"?>
<sst xmlns="http://schemas.openxmlformats.org/spreadsheetml/2006/main" count="160" uniqueCount="58">
  <si>
    <t>Характеристики объекта экспертизы (n)</t>
  </si>
  <si>
    <t>Оценка эксперта объекта экспертизы</t>
  </si>
  <si>
    <t>Функциональная пригодность</t>
  </si>
  <si>
    <t>Производительная эффективность</t>
  </si>
  <si>
    <t>Совместимость</t>
  </si>
  <si>
    <t>Удобство использования</t>
  </si>
  <si>
    <t>Надежность</t>
  </si>
  <si>
    <t>Защищенность</t>
  </si>
  <si>
    <t>Сопровождаемость</t>
  </si>
  <si>
    <t>Переносимость</t>
  </si>
  <si>
    <t>Женя - 15</t>
  </si>
  <si>
    <t>Артем - 80</t>
  </si>
  <si>
    <t>Полина - 65</t>
  </si>
  <si>
    <t>Алина - 40</t>
  </si>
  <si>
    <t>Первую индивидуально для каждой системы</t>
  </si>
  <si>
    <t>Метод экспертного ранжирования</t>
  </si>
  <si>
    <t>Метод непосредственной оценки</t>
  </si>
  <si>
    <t>Метод 1</t>
  </si>
  <si>
    <t>ИС</t>
  </si>
  <si>
    <t>ОС</t>
  </si>
  <si>
    <t>Лабораторная работа №2</t>
  </si>
  <si>
    <t>Исключены: Удобство использования и Переносимость</t>
  </si>
  <si>
    <t>Функциональная полнота</t>
  </si>
  <si>
    <t>Функциональная правильность</t>
  </si>
  <si>
    <t>Функциональная уместность</t>
  </si>
  <si>
    <t>Подхарактеристики функциональной пригодности</t>
  </si>
  <si>
    <t>Подхарактеристики эффективности</t>
  </si>
  <si>
    <t>пересмотреть сопровождаемость</t>
  </si>
  <si>
    <t>не делать матрицы сравнений для подхарактеристик</t>
  </si>
  <si>
    <t>лаба 3</t>
  </si>
  <si>
    <t>Среднее время отклика</t>
  </si>
  <si>
    <t>Корректность времени отклика</t>
  </si>
  <si>
    <t>Среднее время обработки</t>
  </si>
  <si>
    <t>Корректность времени обработки</t>
  </si>
  <si>
    <t>Средняя пропускная способность</t>
  </si>
  <si>
    <t>Эксплуатационная согласованность</t>
  </si>
  <si>
    <t>Корректность сообщений</t>
  </si>
  <si>
    <t>Функциональная настраиваемость</t>
  </si>
  <si>
    <t>Настраиваемость пользовательского интерфейса</t>
  </si>
  <si>
    <t>Возможность мониторинга</t>
  </si>
  <si>
    <t>Возможность отмены действий</t>
  </si>
  <si>
    <t>Понятность категоризации информации</t>
  </si>
  <si>
    <t>Постоянство представления</t>
  </si>
  <si>
    <t>Поддержка устройства ввода</t>
  </si>
  <si>
    <t>Стандартизованные показатели качества (n) подхарактеристики "Временные характеристики"</t>
  </si>
  <si>
    <t>Стандартизованные показатели качества (n) подхарактеристики "Эксплуатационная пригодность"</t>
  </si>
  <si>
    <t>Стандартизованные показатели качества (n) подхарактеристики                       "Эксплуатационная пригодность"</t>
  </si>
  <si>
    <t>Стандартизованные показатели качества (n) подхарактеристики                                  "Использование ресурсов"</t>
  </si>
  <si>
    <t>Среднее использование ресурса процессора</t>
  </si>
  <si>
    <t>Среднее использование ресурса памяти</t>
  </si>
  <si>
    <t>Среднее использование ресурса ввода-вывода</t>
  </si>
  <si>
    <t>Использование пропускной способности сети</t>
  </si>
  <si>
    <t>Полнота руководства пользователя</t>
  </si>
  <si>
    <t>Приведение значений по умолчанию</t>
  </si>
  <si>
    <t>Понятность сообщений об ошибках</t>
  </si>
  <si>
    <t>Самоописательность пользовательского интерфейса</t>
  </si>
  <si>
    <t>Стандартизованные показатели качества (n) подхарактеристики                                       "Временные характеристики"</t>
  </si>
  <si>
    <t>Стандартизованные показатели качества (n) подхарактеристики                                             "Обучаемость"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</si>
</sst>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/>
    <xf numFmtId="0" fontId="1" fillId="0" borderId="4" xfId="0" applyFont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2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Border="1"/>
    <xf numFmtId="0" fontId="1" fillId="0" borderId="0" xfId="0" applyFont="1" applyBorder="1"/>
    <xf numFmtId="12" fontId="1" fillId="0" borderId="0" xfId="0" applyNumberFormat="1" applyFont="1" applyBorder="1" applyAlignment="1">
      <alignment horizontal="center" vertical="center"/>
    </xf>
    <xf numFmtId="0" fontId="0" fillId="0" borderId="0" xfId="0" applyNumberFormat="1"/>
    <xf numFmtId="0" fontId="0" fillId="3" borderId="0" xfId="0" applyFill="1"/>
    <xf numFmtId="0" fontId="3" fillId="0" borderId="0" xfId="0" applyFont="1"/>
    <xf numFmtId="0" fontId="2" fillId="0" borderId="0" xfId="0" applyFont="1" applyFill="1" applyBorder="1" applyAlignment="1">
      <alignment horizontal="center"/>
    </xf>
    <xf numFmtId="0" fontId="0" fillId="0" borderId="0" xfId="0" applyNumberFormat="1" applyBorder="1"/>
    <xf numFmtId="0" fontId="4" fillId="0" borderId="0" xfId="0" applyFont="1" applyBorder="1" applyAlignment="1"/>
    <xf numFmtId="0" fontId="2" fillId="0" borderId="1" xfId="0" applyFont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2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Border="1"/>
    <xf numFmtId="0" fontId="0" fillId="0" borderId="0" xfId="0" applyFill="1" applyBorder="1"/>
    <xf numFmtId="12" fontId="5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NumberFormat="1" applyFont="1"/>
    <xf numFmtId="12" fontId="1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Border="1"/>
    <xf numFmtId="2" fontId="1" fillId="0" borderId="0" xfId="0" applyNumberFormat="1" applyFont="1" applyFill="1" applyBorder="1"/>
    <xf numFmtId="2" fontId="1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125506</xdr:colOff>
      <xdr:row>14</xdr:row>
      <xdr:rowOff>8964</xdr:rowOff>
    </xdr:from>
    <xdr:to>
      <xdr:col>6</xdr:col>
      <xdr:colOff>468406</xdr:colOff>
      <xdr:row>15</xdr:row>
      <xdr:rowOff>192741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9012" y="2698376"/>
          <a:ext cx="342900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430306</xdr:colOff>
      <xdr:row>24</xdr:row>
      <xdr:rowOff>60511</xdr:rowOff>
    </xdr:from>
    <xdr:to>
      <xdr:col>5</xdr:col>
      <xdr:colOff>839881</xdr:colOff>
      <xdr:row>26</xdr:row>
      <xdr:rowOff>35058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1546" y="4754431"/>
          <a:ext cx="409575" cy="370787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13</xdr:row>
      <xdr:rowOff>98612</xdr:rowOff>
    </xdr:from>
    <xdr:to>
      <xdr:col>7</xdr:col>
      <xdr:colOff>495300</xdr:colOff>
      <xdr:row>15</xdr:row>
      <xdr:rowOff>150720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5506" y="2608730"/>
          <a:ext cx="342900" cy="428625"/>
        </a:xfrm>
        <a:prstGeom prst="rect">
          <a:avLst/>
        </a:prstGeom>
      </xdr:spPr>
    </xdr:pic>
    <xdr:clientData/>
  </xdr:twoCellAnchor>
  <xdr:twoCellAnchor editAs="oneCell">
    <xdr:from>
      <xdr:col>5</xdr:col>
      <xdr:colOff>478972</xdr:colOff>
      <xdr:row>26</xdr:row>
      <xdr:rowOff>119743</xdr:rowOff>
    </xdr:from>
    <xdr:to>
      <xdr:col>5</xdr:col>
      <xdr:colOff>840922</xdr:colOff>
      <xdr:row>28</xdr:row>
      <xdr:rowOff>108857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90212" y="5209903"/>
          <a:ext cx="361950" cy="385354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24</xdr:row>
      <xdr:rowOff>141514</xdr:rowOff>
    </xdr:from>
    <xdr:to>
      <xdr:col>8</xdr:col>
      <xdr:colOff>590550</xdr:colOff>
      <xdr:row>26</xdr:row>
      <xdr:rowOff>73479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1743" y="4800600"/>
          <a:ext cx="2857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272142</xdr:colOff>
      <xdr:row>26</xdr:row>
      <xdr:rowOff>141515</xdr:rowOff>
    </xdr:from>
    <xdr:to>
      <xdr:col>8</xdr:col>
      <xdr:colOff>567417</xdr:colOff>
      <xdr:row>28</xdr:row>
      <xdr:rowOff>6804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69085" y="5181601"/>
          <a:ext cx="295275" cy="257175"/>
        </a:xfrm>
        <a:prstGeom prst="rect">
          <a:avLst/>
        </a:prstGeom>
      </xdr:spPr>
    </xdr:pic>
    <xdr:clientData/>
  </xdr:twoCellAnchor>
  <xdr:twoCellAnchor editAs="oneCell">
    <xdr:from>
      <xdr:col>7</xdr:col>
      <xdr:colOff>125507</xdr:colOff>
      <xdr:row>62</xdr:row>
      <xdr:rowOff>35858</xdr:rowOff>
    </xdr:from>
    <xdr:to>
      <xdr:col>7</xdr:col>
      <xdr:colOff>468407</xdr:colOff>
      <xdr:row>63</xdr:row>
      <xdr:rowOff>172009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8613" y="11940987"/>
          <a:ext cx="34290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174171</xdr:colOff>
      <xdr:row>76</xdr:row>
      <xdr:rowOff>43542</xdr:rowOff>
    </xdr:from>
    <xdr:to>
      <xdr:col>11</xdr:col>
      <xdr:colOff>469446</xdr:colOff>
      <xdr:row>77</xdr:row>
      <xdr:rowOff>133349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99914" y="14695713"/>
          <a:ext cx="295275" cy="28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43543</xdr:colOff>
      <xdr:row>87</xdr:row>
      <xdr:rowOff>108858</xdr:rowOff>
    </xdr:from>
    <xdr:to>
      <xdr:col>12</xdr:col>
      <xdr:colOff>557893</xdr:colOff>
      <xdr:row>89</xdr:row>
      <xdr:rowOff>72119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78886" y="16905515"/>
          <a:ext cx="514350" cy="333375"/>
        </a:xfrm>
        <a:prstGeom prst="rect">
          <a:avLst/>
        </a:prstGeom>
      </xdr:spPr>
    </xdr:pic>
    <xdr:clientData/>
  </xdr:twoCellAnchor>
  <xdr:twoCellAnchor editAs="oneCell">
    <xdr:from>
      <xdr:col>8</xdr:col>
      <xdr:colOff>556260</xdr:colOff>
      <xdr:row>13</xdr:row>
      <xdr:rowOff>68579</xdr:rowOff>
    </xdr:from>
    <xdr:to>
      <xdr:col>10</xdr:col>
      <xdr:colOff>60960</xdr:colOff>
      <xdr:row>15</xdr:row>
      <xdr:rowOff>194928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55380" y="2598419"/>
          <a:ext cx="830579" cy="50734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75</xdr:row>
      <xdr:rowOff>137160</xdr:rowOff>
    </xdr:from>
    <xdr:to>
      <xdr:col>10</xdr:col>
      <xdr:colOff>480060</xdr:colOff>
      <xdr:row>77</xdr:row>
      <xdr:rowOff>170329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85020" y="14676120"/>
          <a:ext cx="365760" cy="41416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30481</xdr:colOff>
      <xdr:row>75</xdr:row>
      <xdr:rowOff>175260</xdr:rowOff>
    </xdr:from>
    <xdr:to>
      <xdr:col>13</xdr:col>
      <xdr:colOff>22861</xdr:colOff>
      <xdr:row>77</xdr:row>
      <xdr:rowOff>136438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20401" y="14714220"/>
          <a:ext cx="601980" cy="342178"/>
        </a:xfrm>
        <a:prstGeom prst="rect">
          <a:avLst/>
        </a:prstGeom>
      </xdr:spPr>
    </xdr:pic>
    <xdr:clientData/>
  </xdr:twoCellAnchor>
  <xdr:twoCellAnchor editAs="oneCell">
    <xdr:from>
      <xdr:col>9</xdr:col>
      <xdr:colOff>106681</xdr:colOff>
      <xdr:row>89</xdr:row>
      <xdr:rowOff>76200</xdr:rowOff>
    </xdr:from>
    <xdr:to>
      <xdr:col>9</xdr:col>
      <xdr:colOff>633133</xdr:colOff>
      <xdr:row>91</xdr:row>
      <xdr:rowOff>121920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91601" y="17327880"/>
          <a:ext cx="526452" cy="411480"/>
        </a:xfrm>
        <a:prstGeom prst="rect">
          <a:avLst/>
        </a:prstGeom>
      </xdr:spPr>
    </xdr:pic>
    <xdr:clientData/>
  </xdr:twoCellAnchor>
  <xdr:oneCellAnchor>
    <xdr:from>
      <xdr:col>11</xdr:col>
      <xdr:colOff>174171</xdr:colOff>
      <xdr:row>99</xdr:row>
      <xdr:rowOff>43542</xdr:rowOff>
    </xdr:from>
    <xdr:ext cx="295275" cy="290333"/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60908" y="14930616"/>
          <a:ext cx="295275" cy="290333"/>
        </a:xfrm>
        <a:prstGeom prst="rect">
          <a:avLst/>
        </a:prstGeom>
      </xdr:spPr>
    </xdr:pic>
    <xdr:clientData/>
  </xdr:oneCellAnchor>
  <xdr:oneCellAnchor>
    <xdr:from>
      <xdr:col>12</xdr:col>
      <xdr:colOff>43543</xdr:colOff>
      <xdr:row>110</xdr:row>
      <xdr:rowOff>108858</xdr:rowOff>
    </xdr:from>
    <xdr:ext cx="514350" cy="332229"/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39880" y="17185679"/>
          <a:ext cx="514350" cy="332229"/>
        </a:xfrm>
        <a:prstGeom prst="rect">
          <a:avLst/>
        </a:prstGeom>
      </xdr:spPr>
    </xdr:pic>
    <xdr:clientData/>
  </xdr:oneCellAnchor>
  <xdr:oneCellAnchor>
    <xdr:from>
      <xdr:col>10</xdr:col>
      <xdr:colOff>114300</xdr:colOff>
      <xdr:row>98</xdr:row>
      <xdr:rowOff>137160</xdr:rowOff>
    </xdr:from>
    <xdr:ext cx="365760" cy="418180"/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91437" y="14839749"/>
          <a:ext cx="365760" cy="418180"/>
        </a:xfrm>
        <a:prstGeom prst="rect">
          <a:avLst/>
        </a:prstGeom>
      </xdr:spPr>
    </xdr:pic>
    <xdr:clientData/>
  </xdr:oneCellAnchor>
  <xdr:oneCellAnchor>
    <xdr:from>
      <xdr:col>12</xdr:col>
      <xdr:colOff>30481</xdr:colOff>
      <xdr:row>98</xdr:row>
      <xdr:rowOff>175260</xdr:rowOff>
    </xdr:from>
    <xdr:ext cx="601980" cy="346189"/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26818" y="14877849"/>
          <a:ext cx="601980" cy="346189"/>
        </a:xfrm>
        <a:prstGeom prst="rect">
          <a:avLst/>
        </a:prstGeom>
      </xdr:spPr>
    </xdr:pic>
    <xdr:clientData/>
  </xdr:oneCellAnchor>
  <xdr:oneCellAnchor>
    <xdr:from>
      <xdr:col>9</xdr:col>
      <xdr:colOff>106681</xdr:colOff>
      <xdr:row>112</xdr:row>
      <xdr:rowOff>76200</xdr:rowOff>
    </xdr:from>
    <xdr:ext cx="526452" cy="414689"/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94007" y="17521989"/>
          <a:ext cx="526452" cy="414689"/>
        </a:xfrm>
        <a:prstGeom prst="rect">
          <a:avLst/>
        </a:prstGeom>
      </xdr:spPr>
    </xdr:pic>
    <xdr:clientData/>
  </xdr:oneCellAnchor>
  <xdr:oneCellAnchor>
    <xdr:from>
      <xdr:col>11</xdr:col>
      <xdr:colOff>174171</xdr:colOff>
      <xdr:row>120</xdr:row>
      <xdr:rowOff>43542</xdr:rowOff>
    </xdr:from>
    <xdr:ext cx="295275" cy="290333"/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60908" y="19382300"/>
          <a:ext cx="295275" cy="290333"/>
        </a:xfrm>
        <a:prstGeom prst="rect">
          <a:avLst/>
        </a:prstGeom>
      </xdr:spPr>
    </xdr:pic>
    <xdr:clientData/>
  </xdr:oneCellAnchor>
  <xdr:oneCellAnchor>
    <xdr:from>
      <xdr:col>12</xdr:col>
      <xdr:colOff>43543</xdr:colOff>
      <xdr:row>131</xdr:row>
      <xdr:rowOff>108858</xdr:rowOff>
    </xdr:from>
    <xdr:ext cx="514350" cy="332229"/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39880" y="21637363"/>
          <a:ext cx="514350" cy="332229"/>
        </a:xfrm>
        <a:prstGeom prst="rect">
          <a:avLst/>
        </a:prstGeom>
      </xdr:spPr>
    </xdr:pic>
    <xdr:clientData/>
  </xdr:oneCellAnchor>
  <xdr:oneCellAnchor>
    <xdr:from>
      <xdr:col>10</xdr:col>
      <xdr:colOff>114300</xdr:colOff>
      <xdr:row>119</xdr:row>
      <xdr:rowOff>137160</xdr:rowOff>
    </xdr:from>
    <xdr:ext cx="365760" cy="418180"/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91437" y="19291434"/>
          <a:ext cx="365760" cy="418180"/>
        </a:xfrm>
        <a:prstGeom prst="rect">
          <a:avLst/>
        </a:prstGeom>
      </xdr:spPr>
    </xdr:pic>
    <xdr:clientData/>
  </xdr:oneCellAnchor>
  <xdr:oneCellAnchor>
    <xdr:from>
      <xdr:col>12</xdr:col>
      <xdr:colOff>30481</xdr:colOff>
      <xdr:row>119</xdr:row>
      <xdr:rowOff>175260</xdr:rowOff>
    </xdr:from>
    <xdr:ext cx="601980" cy="346189"/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26818" y="19329534"/>
          <a:ext cx="601980" cy="346189"/>
        </a:xfrm>
        <a:prstGeom prst="rect">
          <a:avLst/>
        </a:prstGeom>
      </xdr:spPr>
    </xdr:pic>
    <xdr:clientData/>
  </xdr:oneCellAnchor>
  <xdr:oneCellAnchor>
    <xdr:from>
      <xdr:col>9</xdr:col>
      <xdr:colOff>106681</xdr:colOff>
      <xdr:row>133</xdr:row>
      <xdr:rowOff>76200</xdr:rowOff>
    </xdr:from>
    <xdr:ext cx="526452" cy="414689"/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94007" y="21973674"/>
          <a:ext cx="526452" cy="414689"/>
        </a:xfrm>
        <a:prstGeom prst="rect">
          <a:avLst/>
        </a:prstGeom>
      </xdr:spPr>
    </xdr:pic>
    <xdr:clientData/>
  </xdr:oneCellAnchor>
  <xdr:oneCellAnchor>
    <xdr:from>
      <xdr:col>6</xdr:col>
      <xdr:colOff>198234</xdr:colOff>
      <xdr:row>141</xdr:row>
      <xdr:rowOff>51563</xdr:rowOff>
    </xdr:from>
    <xdr:ext cx="295275" cy="290333"/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76550" y="27539710"/>
          <a:ext cx="295275" cy="290333"/>
        </a:xfrm>
        <a:prstGeom prst="rect">
          <a:avLst/>
        </a:prstGeom>
      </xdr:spPr>
    </xdr:pic>
    <xdr:clientData/>
  </xdr:oneCellAnchor>
  <xdr:oneCellAnchor>
    <xdr:from>
      <xdr:col>7</xdr:col>
      <xdr:colOff>27502</xdr:colOff>
      <xdr:row>147</xdr:row>
      <xdr:rowOff>181049</xdr:rowOff>
    </xdr:from>
    <xdr:ext cx="514350" cy="332229"/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95628" y="28872354"/>
          <a:ext cx="514350" cy="332229"/>
        </a:xfrm>
        <a:prstGeom prst="rect">
          <a:avLst/>
        </a:prstGeom>
      </xdr:spPr>
    </xdr:pic>
    <xdr:clientData/>
  </xdr:oneCellAnchor>
  <xdr:oneCellAnchor>
    <xdr:from>
      <xdr:col>5</xdr:col>
      <xdr:colOff>322848</xdr:colOff>
      <xdr:row>140</xdr:row>
      <xdr:rowOff>137160</xdr:rowOff>
    </xdr:from>
    <xdr:ext cx="365760" cy="418180"/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34890" y="27440823"/>
          <a:ext cx="365760" cy="418180"/>
        </a:xfrm>
        <a:prstGeom prst="rect">
          <a:avLst/>
        </a:prstGeom>
      </xdr:spPr>
    </xdr:pic>
    <xdr:clientData/>
  </xdr:oneCellAnchor>
  <xdr:oneCellAnchor>
    <xdr:from>
      <xdr:col>7</xdr:col>
      <xdr:colOff>70587</xdr:colOff>
      <xdr:row>140</xdr:row>
      <xdr:rowOff>183281</xdr:rowOff>
    </xdr:from>
    <xdr:ext cx="601980" cy="346189"/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38713" y="27486944"/>
          <a:ext cx="601980" cy="346189"/>
        </a:xfrm>
        <a:prstGeom prst="rect">
          <a:avLst/>
        </a:prstGeom>
      </xdr:spPr>
    </xdr:pic>
    <xdr:clientData/>
  </xdr:oneCellAnchor>
  <xdr:oneCellAnchor>
    <xdr:from>
      <xdr:col>4</xdr:col>
      <xdr:colOff>154807</xdr:colOff>
      <xdr:row>148</xdr:row>
      <xdr:rowOff>4010</xdr:rowOff>
    </xdr:from>
    <xdr:ext cx="526452" cy="414689"/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56723" y="28895842"/>
          <a:ext cx="526452" cy="414689"/>
        </a:xfrm>
        <a:prstGeom prst="rect">
          <a:avLst/>
        </a:prstGeom>
      </xdr:spPr>
    </xdr:pic>
    <xdr:clientData/>
  </xdr:oneCellAnchor>
  <xdr:oneCellAnchor>
    <xdr:from>
      <xdr:col>6</xdr:col>
      <xdr:colOff>198234</xdr:colOff>
      <xdr:row>155</xdr:row>
      <xdr:rowOff>51563</xdr:rowOff>
    </xdr:from>
    <xdr:ext cx="295275" cy="290333"/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76550" y="27539710"/>
          <a:ext cx="295275" cy="290333"/>
        </a:xfrm>
        <a:prstGeom prst="rect">
          <a:avLst/>
        </a:prstGeom>
      </xdr:spPr>
    </xdr:pic>
    <xdr:clientData/>
  </xdr:oneCellAnchor>
  <xdr:oneCellAnchor>
    <xdr:from>
      <xdr:col>7</xdr:col>
      <xdr:colOff>27502</xdr:colOff>
      <xdr:row>161</xdr:row>
      <xdr:rowOff>181049</xdr:rowOff>
    </xdr:from>
    <xdr:ext cx="514350" cy="332229"/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95628" y="28872354"/>
          <a:ext cx="514350" cy="332229"/>
        </a:xfrm>
        <a:prstGeom prst="rect">
          <a:avLst/>
        </a:prstGeom>
      </xdr:spPr>
    </xdr:pic>
    <xdr:clientData/>
  </xdr:oneCellAnchor>
  <xdr:oneCellAnchor>
    <xdr:from>
      <xdr:col>5</xdr:col>
      <xdr:colOff>322848</xdr:colOff>
      <xdr:row>154</xdr:row>
      <xdr:rowOff>137160</xdr:rowOff>
    </xdr:from>
    <xdr:ext cx="365760" cy="418180"/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34890" y="27440823"/>
          <a:ext cx="365760" cy="418180"/>
        </a:xfrm>
        <a:prstGeom prst="rect">
          <a:avLst/>
        </a:prstGeom>
      </xdr:spPr>
    </xdr:pic>
    <xdr:clientData/>
  </xdr:oneCellAnchor>
  <xdr:oneCellAnchor>
    <xdr:from>
      <xdr:col>7</xdr:col>
      <xdr:colOff>70587</xdr:colOff>
      <xdr:row>154</xdr:row>
      <xdr:rowOff>183281</xdr:rowOff>
    </xdr:from>
    <xdr:ext cx="601980" cy="346189"/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38713" y="27486944"/>
          <a:ext cx="601980" cy="346189"/>
        </a:xfrm>
        <a:prstGeom prst="rect">
          <a:avLst/>
        </a:prstGeom>
      </xdr:spPr>
    </xdr:pic>
    <xdr:clientData/>
  </xdr:oneCellAnchor>
  <xdr:oneCellAnchor>
    <xdr:from>
      <xdr:col>4</xdr:col>
      <xdr:colOff>154807</xdr:colOff>
      <xdr:row>162</xdr:row>
      <xdr:rowOff>4010</xdr:rowOff>
    </xdr:from>
    <xdr:ext cx="526452" cy="414689"/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56723" y="28895842"/>
          <a:ext cx="526452" cy="414689"/>
        </a:xfrm>
        <a:prstGeom prst="rect">
          <a:avLst/>
        </a:prstGeom>
      </xdr:spPr>
    </xdr:pic>
    <xdr:clientData/>
  </xdr:oneCellAnchor>
  <xdr:oneCellAnchor>
    <xdr:from>
      <xdr:col>8</xdr:col>
      <xdr:colOff>142087</xdr:colOff>
      <xdr:row>171</xdr:row>
      <xdr:rowOff>75627</xdr:rowOff>
    </xdr:from>
    <xdr:ext cx="295275" cy="290333"/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19813" y="33419143"/>
          <a:ext cx="295275" cy="290333"/>
        </a:xfrm>
        <a:prstGeom prst="rect">
          <a:avLst/>
        </a:prstGeom>
      </xdr:spPr>
    </xdr:pic>
    <xdr:clientData/>
  </xdr:oneCellAnchor>
  <xdr:oneCellAnchor>
    <xdr:from>
      <xdr:col>7</xdr:col>
      <xdr:colOff>154406</xdr:colOff>
      <xdr:row>170</xdr:row>
      <xdr:rowOff>121118</xdr:rowOff>
    </xdr:from>
    <xdr:ext cx="365760" cy="418180"/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22532" y="33280150"/>
          <a:ext cx="365760" cy="418180"/>
        </a:xfrm>
        <a:prstGeom prst="rect">
          <a:avLst/>
        </a:prstGeom>
      </xdr:spPr>
    </xdr:pic>
    <xdr:clientData/>
  </xdr:oneCellAnchor>
  <xdr:oneCellAnchor>
    <xdr:from>
      <xdr:col>12</xdr:col>
      <xdr:colOff>142087</xdr:colOff>
      <xdr:row>181</xdr:row>
      <xdr:rowOff>51563</xdr:rowOff>
    </xdr:from>
    <xdr:ext cx="295275" cy="290333"/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38424" y="35384300"/>
          <a:ext cx="295275" cy="290333"/>
        </a:xfrm>
        <a:prstGeom prst="rect">
          <a:avLst/>
        </a:prstGeom>
      </xdr:spPr>
    </xdr:pic>
    <xdr:clientData/>
  </xdr:oneCellAnchor>
  <xdr:oneCellAnchor>
    <xdr:from>
      <xdr:col>11</xdr:col>
      <xdr:colOff>130342</xdr:colOff>
      <xdr:row>180</xdr:row>
      <xdr:rowOff>177266</xdr:rowOff>
    </xdr:from>
    <xdr:ext cx="365760" cy="418180"/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17079" y="35309477"/>
          <a:ext cx="365760" cy="418180"/>
        </a:xfrm>
        <a:prstGeom prst="rect">
          <a:avLst/>
        </a:prstGeom>
      </xdr:spPr>
    </xdr:pic>
    <xdr:clientData/>
  </xdr:oneCellAnchor>
  <xdr:oneCellAnchor>
    <xdr:from>
      <xdr:col>12</xdr:col>
      <xdr:colOff>96367</xdr:colOff>
      <xdr:row>204</xdr:row>
      <xdr:rowOff>82043</xdr:rowOff>
    </xdr:from>
    <xdr:ext cx="475133" cy="467181"/>
    <xdr:pic>
      <xdr:nvPicPr>
        <xdr:cNvPr id="39" name="Рисунок 3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30127" y="39782243"/>
          <a:ext cx="475133" cy="467181"/>
        </a:xfrm>
        <a:prstGeom prst="rect">
          <a:avLst/>
        </a:prstGeom>
      </xdr:spPr>
    </xdr:pic>
    <xdr:clientData/>
  </xdr:oneCellAnchor>
  <xdr:oneCellAnchor>
    <xdr:from>
      <xdr:col>11</xdr:col>
      <xdr:colOff>115102</xdr:colOff>
      <xdr:row>204</xdr:row>
      <xdr:rowOff>24866</xdr:rowOff>
    </xdr:from>
    <xdr:ext cx="441158" cy="504384"/>
    <xdr:pic>
      <xdr:nvPicPr>
        <xdr:cNvPr id="40" name="Рисунок 3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39262" y="39725066"/>
          <a:ext cx="441158" cy="504384"/>
        </a:xfrm>
        <a:prstGeom prst="rect">
          <a:avLst/>
        </a:prstGeom>
      </xdr:spPr>
    </xdr:pic>
    <xdr:clientData/>
  </xdr:oneCellAnchor>
  <xdr:oneCellAnchor>
    <xdr:from>
      <xdr:col>8</xdr:col>
      <xdr:colOff>111607</xdr:colOff>
      <xdr:row>219</xdr:row>
      <xdr:rowOff>90867</xdr:rowOff>
    </xdr:from>
    <xdr:ext cx="452273" cy="444703"/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30767" y="42907647"/>
          <a:ext cx="452273" cy="444703"/>
        </a:xfrm>
        <a:prstGeom prst="rect">
          <a:avLst/>
        </a:prstGeom>
      </xdr:spPr>
    </xdr:pic>
    <xdr:clientData/>
  </xdr:oneCellAnchor>
  <xdr:oneCellAnchor>
    <xdr:from>
      <xdr:col>7</xdr:col>
      <xdr:colOff>139166</xdr:colOff>
      <xdr:row>219</xdr:row>
      <xdr:rowOff>44917</xdr:rowOff>
    </xdr:from>
    <xdr:ext cx="439954" cy="503007"/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48726" y="42861697"/>
          <a:ext cx="439954" cy="503007"/>
        </a:xfrm>
        <a:prstGeom prst="rect">
          <a:avLst/>
        </a:prstGeom>
      </xdr:spPr>
    </xdr:pic>
    <xdr:clientData/>
  </xdr:oneCellAnchor>
  <xdr:oneCellAnchor>
    <xdr:from>
      <xdr:col>7</xdr:col>
      <xdr:colOff>119227</xdr:colOff>
      <xdr:row>230</xdr:row>
      <xdr:rowOff>144207</xdr:rowOff>
    </xdr:from>
    <xdr:ext cx="411317" cy="404433"/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26907" y="45277467"/>
          <a:ext cx="411317" cy="404433"/>
        </a:xfrm>
        <a:prstGeom prst="rect">
          <a:avLst/>
        </a:prstGeom>
      </xdr:spPr>
    </xdr:pic>
    <xdr:clientData/>
  </xdr:oneCellAnchor>
  <xdr:oneCellAnchor>
    <xdr:from>
      <xdr:col>6</xdr:col>
      <xdr:colOff>154406</xdr:colOff>
      <xdr:row>229</xdr:row>
      <xdr:rowOff>143978</xdr:rowOff>
    </xdr:from>
    <xdr:ext cx="500914" cy="572704"/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78166" y="45094358"/>
          <a:ext cx="500914" cy="572704"/>
        </a:xfrm>
        <a:prstGeom prst="rect">
          <a:avLst/>
        </a:prstGeom>
      </xdr:spPr>
    </xdr:pic>
    <xdr:clientData/>
  </xdr:oneCellAnchor>
  <xdr:oneCellAnchor>
    <xdr:from>
      <xdr:col>7</xdr:col>
      <xdr:colOff>43027</xdr:colOff>
      <xdr:row>242</xdr:row>
      <xdr:rowOff>98487</xdr:rowOff>
    </xdr:from>
    <xdr:ext cx="481065" cy="473013"/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2587" y="47708247"/>
          <a:ext cx="481065" cy="473013"/>
        </a:xfrm>
        <a:prstGeom prst="rect">
          <a:avLst/>
        </a:prstGeom>
      </xdr:spPr>
    </xdr:pic>
    <xdr:clientData/>
  </xdr:oneCellAnchor>
  <xdr:oneCellAnchor>
    <xdr:from>
      <xdr:col>6</xdr:col>
      <xdr:colOff>101066</xdr:colOff>
      <xdr:row>241</xdr:row>
      <xdr:rowOff>182078</xdr:rowOff>
    </xdr:from>
    <xdr:ext cx="500914" cy="572704"/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24826" y="47608958"/>
          <a:ext cx="500914" cy="5727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"/>
  <sheetViews>
    <sheetView tabSelected="1" topLeftCell="A234" zoomScaleNormal="100" workbookViewId="0">
      <selection activeCell="N224" sqref="N224"/>
    </sheetView>
  </sheetViews>
  <sheetFormatPr defaultRowHeight="14.4" x14ac:dyDescent="0.3"/>
  <cols>
    <col min="1" max="1" width="5.5546875" customWidth="1"/>
    <col min="2" max="2" width="53.77734375" customWidth="1"/>
    <col min="3" max="3" width="11.88671875" customWidth="1"/>
    <col min="4" max="4" width="12.5546875" customWidth="1"/>
    <col min="5" max="5" width="11.77734375" customWidth="1"/>
    <col min="6" max="6" width="12.6640625" customWidth="1"/>
    <col min="7" max="7" width="10" bestFit="1" customWidth="1"/>
    <col min="9" max="9" width="9.33203125" bestFit="1" customWidth="1"/>
    <col min="10" max="10" width="10" bestFit="1" customWidth="1"/>
  </cols>
  <sheetData>
    <row r="1" spans="1:11" x14ac:dyDescent="0.3">
      <c r="B1" t="s">
        <v>15</v>
      </c>
    </row>
    <row r="2" spans="1:11" ht="15.6" x14ac:dyDescent="0.3">
      <c r="A2" s="57"/>
      <c r="B2" s="61" t="s">
        <v>0</v>
      </c>
      <c r="C2" s="56" t="s">
        <v>1</v>
      </c>
      <c r="D2" s="56"/>
      <c r="E2" s="56"/>
      <c r="F2" s="56"/>
      <c r="G2" s="56"/>
      <c r="H2" s="56"/>
    </row>
    <row r="3" spans="1:11" ht="15.6" x14ac:dyDescent="0.3">
      <c r="A3" s="58"/>
      <c r="B3" s="61"/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</row>
    <row r="4" spans="1:11" ht="15.6" x14ac:dyDescent="0.3">
      <c r="A4" s="2">
        <v>1</v>
      </c>
      <c r="B4" s="2" t="s">
        <v>2</v>
      </c>
      <c r="C4" s="3">
        <v>8</v>
      </c>
      <c r="D4" s="3">
        <v>8</v>
      </c>
      <c r="E4" s="3">
        <v>7</v>
      </c>
      <c r="F4" s="3">
        <v>7</v>
      </c>
      <c r="G4" s="3">
        <v>7</v>
      </c>
      <c r="H4" s="3">
        <v>8</v>
      </c>
    </row>
    <row r="5" spans="1:11" ht="15.6" x14ac:dyDescent="0.3">
      <c r="A5" s="2">
        <v>2</v>
      </c>
      <c r="B5" s="2" t="s">
        <v>3</v>
      </c>
      <c r="C5" s="3">
        <v>4</v>
      </c>
      <c r="D5" s="3">
        <v>6</v>
      </c>
      <c r="E5" s="3">
        <v>5</v>
      </c>
      <c r="F5" s="3">
        <v>5</v>
      </c>
      <c r="G5" s="3">
        <v>4</v>
      </c>
      <c r="H5" s="3">
        <v>7</v>
      </c>
    </row>
    <row r="6" spans="1:11" ht="15.6" x14ac:dyDescent="0.3">
      <c r="A6" s="2">
        <v>3</v>
      </c>
      <c r="B6" s="2" t="s">
        <v>4</v>
      </c>
      <c r="C6" s="3">
        <v>6</v>
      </c>
      <c r="D6" s="3">
        <v>3</v>
      </c>
      <c r="E6" s="3">
        <v>4</v>
      </c>
      <c r="F6" s="3">
        <v>8</v>
      </c>
      <c r="G6" s="3">
        <v>5</v>
      </c>
      <c r="H6" s="3">
        <v>2</v>
      </c>
    </row>
    <row r="7" spans="1:11" ht="15.6" x14ac:dyDescent="0.3">
      <c r="A7" s="2">
        <v>4</v>
      </c>
      <c r="B7" s="2" t="s">
        <v>5</v>
      </c>
      <c r="C7" s="3">
        <v>7</v>
      </c>
      <c r="D7" s="3">
        <v>2</v>
      </c>
      <c r="E7" s="3">
        <v>3</v>
      </c>
      <c r="F7" s="3">
        <v>4</v>
      </c>
      <c r="G7" s="3">
        <v>6</v>
      </c>
      <c r="H7" s="3">
        <v>1</v>
      </c>
    </row>
    <row r="8" spans="1:11" ht="15.6" x14ac:dyDescent="0.3">
      <c r="A8" s="2">
        <v>5</v>
      </c>
      <c r="B8" s="2" t="s">
        <v>6</v>
      </c>
      <c r="C8" s="3">
        <v>5</v>
      </c>
      <c r="D8" s="3">
        <v>7</v>
      </c>
      <c r="E8" s="3">
        <v>6</v>
      </c>
      <c r="F8" s="3">
        <v>6</v>
      </c>
      <c r="G8" s="3">
        <v>3</v>
      </c>
      <c r="H8" s="3">
        <v>6</v>
      </c>
    </row>
    <row r="9" spans="1:11" ht="15.6" x14ac:dyDescent="0.3">
      <c r="A9" s="2">
        <v>6</v>
      </c>
      <c r="B9" s="2" t="s">
        <v>7</v>
      </c>
      <c r="C9" s="3">
        <v>3</v>
      </c>
      <c r="D9" s="3">
        <v>5</v>
      </c>
      <c r="E9" s="3">
        <v>8</v>
      </c>
      <c r="F9" s="3">
        <v>3</v>
      </c>
      <c r="G9" s="3">
        <v>2</v>
      </c>
      <c r="H9" s="3">
        <v>4</v>
      </c>
    </row>
    <row r="10" spans="1:11" ht="15.6" x14ac:dyDescent="0.3">
      <c r="A10" s="2">
        <v>7</v>
      </c>
      <c r="B10" s="2" t="s">
        <v>8</v>
      </c>
      <c r="C10" s="3">
        <v>2</v>
      </c>
      <c r="D10" s="3">
        <v>4</v>
      </c>
      <c r="E10" s="3">
        <v>2</v>
      </c>
      <c r="F10" s="3">
        <v>2</v>
      </c>
      <c r="G10" s="3">
        <v>8</v>
      </c>
      <c r="H10" s="3">
        <v>3</v>
      </c>
    </row>
    <row r="11" spans="1:11" ht="15.6" x14ac:dyDescent="0.3">
      <c r="A11" s="2">
        <v>8</v>
      </c>
      <c r="B11" s="2" t="s">
        <v>9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5</v>
      </c>
    </row>
    <row r="15" spans="1:11" ht="15.6" x14ac:dyDescent="0.3">
      <c r="A15" s="57"/>
      <c r="B15" s="62" t="s">
        <v>0</v>
      </c>
      <c r="C15" s="56" t="s">
        <v>1</v>
      </c>
      <c r="D15" s="56"/>
      <c r="E15" s="56"/>
      <c r="F15" s="56"/>
      <c r="G15" s="7"/>
      <c r="H15" s="7"/>
      <c r="J15" s="60"/>
      <c r="K15" s="11"/>
    </row>
    <row r="16" spans="1:11" ht="15.6" x14ac:dyDescent="0.3">
      <c r="A16" s="58"/>
      <c r="B16" s="62"/>
      <c r="C16" s="4">
        <v>1</v>
      </c>
      <c r="D16" s="4">
        <v>2</v>
      </c>
      <c r="E16" s="4">
        <v>3</v>
      </c>
      <c r="F16" s="4">
        <v>4</v>
      </c>
      <c r="G16" s="5"/>
      <c r="H16" s="5"/>
      <c r="J16" s="60"/>
      <c r="K16" s="11"/>
    </row>
    <row r="17" spans="1:10" ht="15.6" x14ac:dyDescent="0.3">
      <c r="A17" s="2">
        <v>1</v>
      </c>
      <c r="B17" s="8" t="s">
        <v>2</v>
      </c>
      <c r="C17" s="3">
        <v>8</v>
      </c>
      <c r="D17" s="3">
        <v>6</v>
      </c>
      <c r="E17" s="3">
        <v>5</v>
      </c>
      <c r="F17" s="3">
        <v>8</v>
      </c>
      <c r="G17" s="6">
        <f>SUM(C17:F17)</f>
        <v>27</v>
      </c>
      <c r="H17" s="6">
        <f>G17/144</f>
        <v>0.1875</v>
      </c>
      <c r="J17" s="1">
        <f>(G17-18)^2</f>
        <v>81</v>
      </c>
    </row>
    <row r="18" spans="1:10" ht="15.6" x14ac:dyDescent="0.3">
      <c r="A18" s="2">
        <v>2</v>
      </c>
      <c r="B18" s="8" t="s">
        <v>3</v>
      </c>
      <c r="C18" s="3">
        <v>6</v>
      </c>
      <c r="D18" s="3">
        <v>5</v>
      </c>
      <c r="E18" s="3">
        <v>6</v>
      </c>
      <c r="F18" s="3">
        <v>7</v>
      </c>
      <c r="G18" s="6">
        <f t="shared" ref="G18:G24" si="0">SUM(C18:F18)</f>
        <v>24</v>
      </c>
      <c r="H18" s="6">
        <f t="shared" ref="H18:H24" si="1">G18/144</f>
        <v>0.16666666666666666</v>
      </c>
      <c r="J18" s="1">
        <f t="shared" ref="J18:J24" si="2">(G18-18)^2</f>
        <v>36</v>
      </c>
    </row>
    <row r="19" spans="1:10" ht="15.6" x14ac:dyDescent="0.3">
      <c r="A19" s="2">
        <v>3</v>
      </c>
      <c r="B19" s="8" t="s">
        <v>4</v>
      </c>
      <c r="C19" s="3">
        <v>3</v>
      </c>
      <c r="D19" s="3">
        <v>3</v>
      </c>
      <c r="E19" s="3">
        <v>4</v>
      </c>
      <c r="F19" s="3">
        <v>2</v>
      </c>
      <c r="G19" s="6">
        <f t="shared" si="0"/>
        <v>12</v>
      </c>
      <c r="H19" s="6">
        <f t="shared" si="1"/>
        <v>8.3333333333333329E-2</v>
      </c>
      <c r="J19" s="1">
        <f t="shared" si="2"/>
        <v>36</v>
      </c>
    </row>
    <row r="20" spans="1:10" ht="15.6" x14ac:dyDescent="0.3">
      <c r="A20" s="2">
        <v>4</v>
      </c>
      <c r="B20" s="8" t="s">
        <v>5</v>
      </c>
      <c r="C20" s="3">
        <v>2</v>
      </c>
      <c r="D20" s="3">
        <v>2</v>
      </c>
      <c r="E20" s="3">
        <v>1</v>
      </c>
      <c r="F20" s="3">
        <v>3</v>
      </c>
      <c r="G20" s="6">
        <f t="shared" si="0"/>
        <v>8</v>
      </c>
      <c r="H20" s="6">
        <f t="shared" si="1"/>
        <v>5.5555555555555552E-2</v>
      </c>
      <c r="J20" s="1">
        <f t="shared" si="2"/>
        <v>100</v>
      </c>
    </row>
    <row r="21" spans="1:10" ht="15.6" x14ac:dyDescent="0.3">
      <c r="A21" s="2">
        <v>5</v>
      </c>
      <c r="B21" s="8" t="s">
        <v>6</v>
      </c>
      <c r="C21" s="3">
        <v>7</v>
      </c>
      <c r="D21" s="3">
        <v>8</v>
      </c>
      <c r="E21" s="3">
        <v>7</v>
      </c>
      <c r="F21" s="3">
        <v>6</v>
      </c>
      <c r="G21" s="6">
        <f t="shared" si="0"/>
        <v>28</v>
      </c>
      <c r="H21" s="6">
        <f t="shared" si="1"/>
        <v>0.19444444444444445</v>
      </c>
      <c r="J21" s="1">
        <f t="shared" si="2"/>
        <v>100</v>
      </c>
    </row>
    <row r="22" spans="1:10" ht="15.6" x14ac:dyDescent="0.3">
      <c r="A22" s="2">
        <v>6</v>
      </c>
      <c r="B22" s="8" t="s">
        <v>7</v>
      </c>
      <c r="C22" s="3">
        <v>5</v>
      </c>
      <c r="D22" s="3">
        <v>7</v>
      </c>
      <c r="E22" s="3">
        <v>8</v>
      </c>
      <c r="F22" s="3">
        <v>5</v>
      </c>
      <c r="G22" s="6">
        <f t="shared" si="0"/>
        <v>25</v>
      </c>
      <c r="H22" s="6">
        <f t="shared" si="1"/>
        <v>0.1736111111111111</v>
      </c>
      <c r="J22" s="1">
        <f t="shared" si="2"/>
        <v>49</v>
      </c>
    </row>
    <row r="23" spans="1:10" ht="15.6" x14ac:dyDescent="0.3">
      <c r="A23" s="2">
        <v>7</v>
      </c>
      <c r="B23" s="8" t="s">
        <v>8</v>
      </c>
      <c r="C23" s="3">
        <v>4</v>
      </c>
      <c r="D23" s="3">
        <v>4</v>
      </c>
      <c r="E23" s="3">
        <v>3</v>
      </c>
      <c r="F23" s="3">
        <v>4</v>
      </c>
      <c r="G23" s="6">
        <f t="shared" si="0"/>
        <v>15</v>
      </c>
      <c r="H23" s="6">
        <f t="shared" si="1"/>
        <v>0.10416666666666667</v>
      </c>
      <c r="J23" s="1">
        <f t="shared" si="2"/>
        <v>9</v>
      </c>
    </row>
    <row r="24" spans="1:10" ht="15.6" x14ac:dyDescent="0.3">
      <c r="A24" s="2">
        <v>8</v>
      </c>
      <c r="B24" s="8" t="s">
        <v>9</v>
      </c>
      <c r="C24" s="3">
        <v>1</v>
      </c>
      <c r="D24" s="3">
        <v>1</v>
      </c>
      <c r="E24" s="3">
        <v>2</v>
      </c>
      <c r="F24" s="3">
        <v>1</v>
      </c>
      <c r="G24" s="6">
        <f t="shared" si="0"/>
        <v>5</v>
      </c>
      <c r="H24" s="6">
        <f t="shared" si="1"/>
        <v>3.4722222222222224E-2</v>
      </c>
      <c r="J24" s="1">
        <f t="shared" si="2"/>
        <v>169</v>
      </c>
    </row>
    <row r="25" spans="1:10" ht="15.6" x14ac:dyDescent="0.3">
      <c r="J25" s="1"/>
    </row>
    <row r="26" spans="1:10" ht="15.6" x14ac:dyDescent="0.3">
      <c r="G26" s="9">
        <f>SUM(G17:G24)</f>
        <v>144</v>
      </c>
      <c r="H26" s="9"/>
      <c r="J26" s="1">
        <f>SUM(J17:J24)</f>
        <v>580</v>
      </c>
    </row>
    <row r="27" spans="1:10" ht="15.6" x14ac:dyDescent="0.3">
      <c r="J27" s="1"/>
    </row>
    <row r="28" spans="1:10" ht="15.6" x14ac:dyDescent="0.3">
      <c r="G28" s="19">
        <f>144/8</f>
        <v>18</v>
      </c>
      <c r="J28" s="1">
        <f>(12*580)/(16*(512-8))</f>
        <v>0.86309523809523814</v>
      </c>
    </row>
    <row r="30" spans="1:10" x14ac:dyDescent="0.3">
      <c r="B30" t="s">
        <v>10</v>
      </c>
    </row>
    <row r="31" spans="1:10" x14ac:dyDescent="0.3">
      <c r="B31" t="s">
        <v>11</v>
      </c>
    </row>
    <row r="32" spans="1:10" x14ac:dyDescent="0.3">
      <c r="B32" t="s">
        <v>12</v>
      </c>
    </row>
    <row r="33" spans="1:8" x14ac:dyDescent="0.3">
      <c r="B33" t="s">
        <v>13</v>
      </c>
    </row>
    <row r="34" spans="1:8" x14ac:dyDescent="0.3">
      <c r="B34" t="s">
        <v>14</v>
      </c>
    </row>
    <row r="37" spans="1:8" x14ac:dyDescent="0.3">
      <c r="B37" t="s">
        <v>16</v>
      </c>
    </row>
    <row r="38" spans="1:8" ht="15.6" x14ac:dyDescent="0.3">
      <c r="A38" s="57"/>
      <c r="B38" s="61" t="s">
        <v>0</v>
      </c>
      <c r="C38" s="56" t="s">
        <v>1</v>
      </c>
      <c r="D38" s="56"/>
      <c r="E38" s="56"/>
      <c r="F38" s="56"/>
      <c r="G38" s="56"/>
      <c r="H38" s="56"/>
    </row>
    <row r="39" spans="1:8" ht="15.6" x14ac:dyDescent="0.3">
      <c r="A39" s="58"/>
      <c r="B39" s="61"/>
      <c r="C39" s="4">
        <v>1</v>
      </c>
      <c r="D39" s="4">
        <v>2</v>
      </c>
      <c r="E39" s="4">
        <v>3</v>
      </c>
      <c r="F39" s="4">
        <v>4</v>
      </c>
      <c r="G39" s="4">
        <v>5</v>
      </c>
      <c r="H39" s="4">
        <v>6</v>
      </c>
    </row>
    <row r="40" spans="1:8" ht="15.6" x14ac:dyDescent="0.3">
      <c r="A40" s="2">
        <v>1</v>
      </c>
      <c r="B40" s="2" t="s">
        <v>2</v>
      </c>
      <c r="C40" s="3">
        <v>65</v>
      </c>
      <c r="D40" s="3">
        <v>65</v>
      </c>
      <c r="E40" s="3">
        <v>57</v>
      </c>
      <c r="F40" s="3">
        <v>49</v>
      </c>
      <c r="G40" s="3">
        <v>65</v>
      </c>
      <c r="H40" s="3">
        <v>65</v>
      </c>
    </row>
    <row r="41" spans="1:8" ht="15.6" x14ac:dyDescent="0.3">
      <c r="A41" s="2">
        <v>2</v>
      </c>
      <c r="B41" s="2" t="s">
        <v>3</v>
      </c>
      <c r="C41" s="3">
        <v>33</v>
      </c>
      <c r="D41" s="3">
        <v>49</v>
      </c>
      <c r="E41" s="3">
        <v>41</v>
      </c>
      <c r="F41" s="3">
        <v>33</v>
      </c>
      <c r="G41" s="3">
        <v>57</v>
      </c>
      <c r="H41" s="3">
        <v>57</v>
      </c>
    </row>
    <row r="42" spans="1:8" ht="15.6" x14ac:dyDescent="0.3">
      <c r="A42" s="2">
        <v>3</v>
      </c>
      <c r="B42" s="2" t="s">
        <v>4</v>
      </c>
      <c r="C42" s="3">
        <v>49</v>
      </c>
      <c r="D42" s="3">
        <v>24</v>
      </c>
      <c r="E42" s="3">
        <v>33</v>
      </c>
      <c r="F42" s="3">
        <v>65</v>
      </c>
      <c r="G42" s="3">
        <v>49</v>
      </c>
      <c r="H42" s="3">
        <v>49</v>
      </c>
    </row>
    <row r="43" spans="1:8" ht="15.6" x14ac:dyDescent="0.3">
      <c r="A43" s="2">
        <v>4</v>
      </c>
      <c r="B43" s="2" t="s">
        <v>5</v>
      </c>
      <c r="C43" s="3">
        <v>57</v>
      </c>
      <c r="D43" s="3">
        <v>16</v>
      </c>
      <c r="E43" s="3">
        <v>24</v>
      </c>
      <c r="F43" s="3">
        <v>8</v>
      </c>
      <c r="G43" s="3">
        <v>41</v>
      </c>
      <c r="H43" s="3">
        <v>41</v>
      </c>
    </row>
    <row r="44" spans="1:8" ht="15.6" x14ac:dyDescent="0.3">
      <c r="A44" s="2">
        <v>5</v>
      </c>
      <c r="B44" s="2" t="s">
        <v>6</v>
      </c>
      <c r="C44" s="3">
        <v>41</v>
      </c>
      <c r="D44" s="3">
        <v>57</v>
      </c>
      <c r="E44" s="3">
        <v>49</v>
      </c>
      <c r="F44" s="3">
        <v>41</v>
      </c>
      <c r="G44" s="3">
        <v>33</v>
      </c>
      <c r="H44" s="3">
        <v>33</v>
      </c>
    </row>
    <row r="45" spans="1:8" ht="15.6" x14ac:dyDescent="0.3">
      <c r="A45" s="2">
        <v>6</v>
      </c>
      <c r="B45" s="2" t="s">
        <v>7</v>
      </c>
      <c r="C45" s="3">
        <v>24</v>
      </c>
      <c r="D45" s="3">
        <v>41</v>
      </c>
      <c r="E45" s="3">
        <v>65</v>
      </c>
      <c r="F45" s="3">
        <v>24</v>
      </c>
      <c r="G45" s="3">
        <v>24</v>
      </c>
      <c r="H45" s="3">
        <v>24</v>
      </c>
    </row>
    <row r="46" spans="1:8" ht="15.6" x14ac:dyDescent="0.3">
      <c r="A46" s="2">
        <v>7</v>
      </c>
      <c r="B46" s="2" t="s">
        <v>8</v>
      </c>
      <c r="C46" s="3">
        <v>16</v>
      </c>
      <c r="D46" s="3">
        <v>33</v>
      </c>
      <c r="E46" s="3">
        <v>16</v>
      </c>
      <c r="F46" s="3">
        <v>16</v>
      </c>
      <c r="G46" s="3">
        <v>16</v>
      </c>
      <c r="H46" s="3">
        <v>16</v>
      </c>
    </row>
    <row r="47" spans="1:8" ht="15.6" x14ac:dyDescent="0.3">
      <c r="A47" s="2">
        <v>8</v>
      </c>
      <c r="B47" s="2" t="s">
        <v>9</v>
      </c>
      <c r="C47" s="3">
        <v>8</v>
      </c>
      <c r="D47" s="3">
        <v>8</v>
      </c>
      <c r="E47" s="3">
        <v>8</v>
      </c>
      <c r="F47" s="3">
        <v>57</v>
      </c>
      <c r="G47" s="3">
        <v>8</v>
      </c>
      <c r="H47" s="3">
        <v>8</v>
      </c>
    </row>
    <row r="50" spans="1:6" ht="15.6" x14ac:dyDescent="0.3">
      <c r="A50" s="57"/>
      <c r="B50" s="62" t="s">
        <v>0</v>
      </c>
      <c r="C50" s="56" t="s">
        <v>1</v>
      </c>
      <c r="D50" s="56"/>
      <c r="E50" s="56"/>
      <c r="F50" s="56"/>
    </row>
    <row r="51" spans="1:6" ht="15.6" x14ac:dyDescent="0.3">
      <c r="A51" s="58"/>
      <c r="B51" s="62"/>
      <c r="C51" s="4">
        <v>1</v>
      </c>
      <c r="D51" s="4">
        <v>2</v>
      </c>
      <c r="E51" s="4">
        <v>3</v>
      </c>
      <c r="F51" s="4">
        <v>4</v>
      </c>
    </row>
    <row r="52" spans="1:6" ht="15.6" x14ac:dyDescent="0.3">
      <c r="A52" s="2">
        <v>1</v>
      </c>
      <c r="B52" s="8" t="s">
        <v>2</v>
      </c>
      <c r="C52" s="3">
        <v>57</v>
      </c>
      <c r="D52" s="3">
        <v>60</v>
      </c>
      <c r="E52" s="3">
        <v>30</v>
      </c>
      <c r="F52" s="3">
        <v>13</v>
      </c>
    </row>
    <row r="53" spans="1:6" ht="15.6" x14ac:dyDescent="0.3">
      <c r="A53" s="2">
        <v>2</v>
      </c>
      <c r="B53" s="8" t="s">
        <v>3</v>
      </c>
      <c r="C53" s="3">
        <v>41</v>
      </c>
      <c r="D53" s="3">
        <v>20</v>
      </c>
      <c r="E53" s="3">
        <v>10</v>
      </c>
      <c r="F53" s="3">
        <v>12</v>
      </c>
    </row>
    <row r="54" spans="1:6" ht="15.6" x14ac:dyDescent="0.3">
      <c r="A54" s="2">
        <v>3</v>
      </c>
      <c r="B54" s="8" t="s">
        <v>4</v>
      </c>
      <c r="C54" s="3">
        <v>33</v>
      </c>
      <c r="D54" s="3">
        <v>50</v>
      </c>
      <c r="E54" s="3">
        <v>25</v>
      </c>
      <c r="F54" s="3">
        <v>10</v>
      </c>
    </row>
    <row r="55" spans="1:6" ht="15.6" x14ac:dyDescent="0.3">
      <c r="A55" s="2">
        <v>4</v>
      </c>
      <c r="B55" s="8" t="s">
        <v>5</v>
      </c>
      <c r="C55" s="3">
        <v>24</v>
      </c>
      <c r="D55" s="3">
        <v>30</v>
      </c>
      <c r="E55" s="3">
        <v>15</v>
      </c>
      <c r="F55" s="3">
        <v>8</v>
      </c>
    </row>
    <row r="56" spans="1:6" ht="15.6" x14ac:dyDescent="0.3">
      <c r="A56" s="2">
        <v>5</v>
      </c>
      <c r="B56" s="8" t="s">
        <v>6</v>
      </c>
      <c r="C56" s="3">
        <v>49</v>
      </c>
      <c r="D56" s="3">
        <v>70</v>
      </c>
      <c r="E56" s="3">
        <v>35</v>
      </c>
      <c r="F56" s="3">
        <v>14</v>
      </c>
    </row>
    <row r="57" spans="1:6" ht="15.6" x14ac:dyDescent="0.3">
      <c r="A57" s="2">
        <v>6</v>
      </c>
      <c r="B57" s="8" t="s">
        <v>7</v>
      </c>
      <c r="C57" s="3">
        <v>65</v>
      </c>
      <c r="D57" s="3">
        <v>80</v>
      </c>
      <c r="E57" s="3">
        <v>40</v>
      </c>
      <c r="F57" s="3">
        <v>15</v>
      </c>
    </row>
    <row r="58" spans="1:6" ht="15.6" x14ac:dyDescent="0.3">
      <c r="A58" s="2">
        <v>7</v>
      </c>
      <c r="B58" s="8" t="s">
        <v>8</v>
      </c>
      <c r="C58" s="3">
        <v>16</v>
      </c>
      <c r="D58" s="3">
        <v>40</v>
      </c>
      <c r="E58" s="3">
        <v>20</v>
      </c>
      <c r="F58" s="3">
        <v>6</v>
      </c>
    </row>
    <row r="59" spans="1:6" ht="15.6" x14ac:dyDescent="0.3">
      <c r="A59" s="2">
        <v>8</v>
      </c>
      <c r="B59" s="8" t="s">
        <v>9</v>
      </c>
      <c r="C59" s="3">
        <v>8</v>
      </c>
      <c r="D59" s="3">
        <v>10</v>
      </c>
      <c r="E59" s="3">
        <v>5</v>
      </c>
      <c r="F59" s="3">
        <v>4</v>
      </c>
    </row>
    <row r="61" spans="1:6" x14ac:dyDescent="0.3">
      <c r="C61">
        <f>SUM(C52:C59)</f>
        <v>293</v>
      </c>
      <c r="D61">
        <f t="shared" ref="D61:F61" si="3">SUM(D52:D59)</f>
        <v>360</v>
      </c>
      <c r="E61">
        <f t="shared" si="3"/>
        <v>180</v>
      </c>
      <c r="F61">
        <f t="shared" si="3"/>
        <v>82</v>
      </c>
    </row>
    <row r="63" spans="1:6" ht="15.6" x14ac:dyDescent="0.3">
      <c r="A63" s="57"/>
      <c r="B63" s="62" t="s">
        <v>0</v>
      </c>
      <c r="C63" s="56" t="s">
        <v>1</v>
      </c>
      <c r="D63" s="56"/>
      <c r="E63" s="56"/>
      <c r="F63" s="56"/>
    </row>
    <row r="64" spans="1:6" ht="15.6" x14ac:dyDescent="0.3">
      <c r="A64" s="58"/>
      <c r="B64" s="62"/>
      <c r="C64" s="4">
        <v>1</v>
      </c>
      <c r="D64" s="4">
        <v>2</v>
      </c>
      <c r="E64" s="4">
        <v>3</v>
      </c>
      <c r="F64" s="4">
        <v>4</v>
      </c>
    </row>
    <row r="65" spans="1:13" ht="15.6" x14ac:dyDescent="0.3">
      <c r="A65" s="2">
        <v>1</v>
      </c>
      <c r="B65" s="8" t="s">
        <v>2</v>
      </c>
      <c r="C65" s="3">
        <f>C52/293</f>
        <v>0.19453924914675769</v>
      </c>
      <c r="D65" s="3">
        <f>D52/360</f>
        <v>0.16666666666666666</v>
      </c>
      <c r="E65" s="3">
        <f>E52/180</f>
        <v>0.16666666666666666</v>
      </c>
      <c r="F65" s="3">
        <f>F52/82</f>
        <v>0.15853658536585366</v>
      </c>
      <c r="H65">
        <f>SUM(C65:F65)/4</f>
        <v>0.17160229196148616</v>
      </c>
    </row>
    <row r="66" spans="1:13" ht="15.6" x14ac:dyDescent="0.3">
      <c r="A66" s="2">
        <v>2</v>
      </c>
      <c r="B66" s="8" t="s">
        <v>3</v>
      </c>
      <c r="C66" s="3">
        <f t="shared" ref="C66:C72" si="4">C53/293</f>
        <v>0.13993174061433447</v>
      </c>
      <c r="D66" s="3">
        <f t="shared" ref="D66:D72" si="5">D53/360</f>
        <v>5.5555555555555552E-2</v>
      </c>
      <c r="E66" s="3">
        <f t="shared" ref="E66:E72" si="6">E53/180</f>
        <v>5.5555555555555552E-2</v>
      </c>
      <c r="F66" s="3">
        <f t="shared" ref="F66:F72" si="7">F53/82</f>
        <v>0.14634146341463414</v>
      </c>
      <c r="H66">
        <f t="shared" ref="H66:H72" si="8">SUM(C66:F66)/4</f>
        <v>9.9346078785019942E-2</v>
      </c>
    </row>
    <row r="67" spans="1:13" ht="15.6" x14ac:dyDescent="0.3">
      <c r="A67" s="2">
        <v>3</v>
      </c>
      <c r="B67" s="8" t="s">
        <v>4</v>
      </c>
      <c r="C67" s="3">
        <f t="shared" si="4"/>
        <v>0.11262798634812286</v>
      </c>
      <c r="D67" s="3">
        <f t="shared" si="5"/>
        <v>0.1388888888888889</v>
      </c>
      <c r="E67" s="3">
        <f t="shared" si="6"/>
        <v>0.1388888888888889</v>
      </c>
      <c r="F67" s="3">
        <f t="shared" si="7"/>
        <v>0.12195121951219512</v>
      </c>
      <c r="H67">
        <f t="shared" si="8"/>
        <v>0.12808924590952395</v>
      </c>
    </row>
    <row r="68" spans="1:13" ht="15.6" x14ac:dyDescent="0.3">
      <c r="A68" s="2">
        <v>4</v>
      </c>
      <c r="B68" s="8" t="s">
        <v>5</v>
      </c>
      <c r="C68" s="3">
        <f>C55/293</f>
        <v>8.191126279863481E-2</v>
      </c>
      <c r="D68" s="3">
        <f t="shared" si="5"/>
        <v>8.3333333333333329E-2</v>
      </c>
      <c r="E68" s="3">
        <f t="shared" si="6"/>
        <v>8.3333333333333329E-2</v>
      </c>
      <c r="F68" s="3">
        <f t="shared" si="7"/>
        <v>9.7560975609756101E-2</v>
      </c>
      <c r="H68">
        <f t="shared" si="8"/>
        <v>8.6534726268764378E-2</v>
      </c>
    </row>
    <row r="69" spans="1:13" ht="15.6" x14ac:dyDescent="0.3">
      <c r="A69" s="2">
        <v>5</v>
      </c>
      <c r="B69" s="8" t="s">
        <v>6</v>
      </c>
      <c r="C69" s="3">
        <f t="shared" si="4"/>
        <v>0.16723549488054607</v>
      </c>
      <c r="D69" s="3">
        <f t="shared" si="5"/>
        <v>0.19444444444444445</v>
      </c>
      <c r="E69" s="3">
        <f t="shared" si="6"/>
        <v>0.19444444444444445</v>
      </c>
      <c r="F69" s="3">
        <f t="shared" si="7"/>
        <v>0.17073170731707318</v>
      </c>
      <c r="H69">
        <f t="shared" si="8"/>
        <v>0.18171402277162704</v>
      </c>
    </row>
    <row r="70" spans="1:13" ht="15.6" x14ac:dyDescent="0.3">
      <c r="A70" s="2">
        <v>6</v>
      </c>
      <c r="B70" s="8" t="s">
        <v>7</v>
      </c>
      <c r="C70" s="3">
        <f t="shared" si="4"/>
        <v>0.22184300341296928</v>
      </c>
      <c r="D70" s="3">
        <f t="shared" si="5"/>
        <v>0.22222222222222221</v>
      </c>
      <c r="E70" s="3">
        <f t="shared" si="6"/>
        <v>0.22222222222222221</v>
      </c>
      <c r="F70" s="3">
        <f t="shared" si="7"/>
        <v>0.18292682926829268</v>
      </c>
      <c r="H70">
        <f t="shared" si="8"/>
        <v>0.21230356928142657</v>
      </c>
    </row>
    <row r="71" spans="1:13" ht="15.6" x14ac:dyDescent="0.3">
      <c r="A71" s="2">
        <v>7</v>
      </c>
      <c r="B71" s="8" t="s">
        <v>8</v>
      </c>
      <c r="C71" s="3">
        <f t="shared" si="4"/>
        <v>5.4607508532423209E-2</v>
      </c>
      <c r="D71" s="3">
        <f t="shared" si="5"/>
        <v>0.1111111111111111</v>
      </c>
      <c r="E71" s="3">
        <f t="shared" si="6"/>
        <v>0.1111111111111111</v>
      </c>
      <c r="F71" s="3">
        <f t="shared" si="7"/>
        <v>7.3170731707317069E-2</v>
      </c>
      <c r="H71">
        <f t="shared" si="8"/>
        <v>8.7500115615490634E-2</v>
      </c>
    </row>
    <row r="72" spans="1:13" ht="15.6" x14ac:dyDescent="0.3">
      <c r="A72" s="2">
        <v>8</v>
      </c>
      <c r="B72" s="8" t="s">
        <v>9</v>
      </c>
      <c r="C72" s="3">
        <f t="shared" si="4"/>
        <v>2.7303754266211604E-2</v>
      </c>
      <c r="D72" s="3">
        <f t="shared" si="5"/>
        <v>2.7777777777777776E-2</v>
      </c>
      <c r="E72" s="3">
        <f t="shared" si="6"/>
        <v>2.7777777777777776E-2</v>
      </c>
      <c r="F72" s="3">
        <f t="shared" si="7"/>
        <v>4.878048780487805E-2</v>
      </c>
      <c r="H72">
        <f t="shared" si="8"/>
        <v>3.2909949406661303E-2</v>
      </c>
    </row>
    <row r="74" spans="1:13" x14ac:dyDescent="0.3">
      <c r="B74">
        <v>5</v>
      </c>
      <c r="H74">
        <f>SUM(H65:H72)</f>
        <v>1</v>
      </c>
    </row>
    <row r="75" spans="1:13" x14ac:dyDescent="0.3">
      <c r="B75" t="s">
        <v>17</v>
      </c>
    </row>
    <row r="77" spans="1:13" ht="15.6" x14ac:dyDescent="0.3">
      <c r="A77" s="63"/>
      <c r="B77" s="61" t="s">
        <v>0</v>
      </c>
      <c r="C77" s="51" t="s">
        <v>1</v>
      </c>
      <c r="D77" s="52"/>
      <c r="E77" s="52"/>
      <c r="F77" s="52"/>
      <c r="G77" s="52"/>
      <c r="H77" s="52"/>
      <c r="I77" s="52"/>
      <c r="J77" s="53"/>
    </row>
    <row r="78" spans="1:13" ht="15.6" x14ac:dyDescent="0.3">
      <c r="A78" s="64"/>
      <c r="B78" s="61"/>
      <c r="C78" s="4">
        <v>1</v>
      </c>
      <c r="D78" s="4">
        <v>2</v>
      </c>
      <c r="E78" s="4">
        <v>3</v>
      </c>
      <c r="F78" s="4">
        <v>4</v>
      </c>
      <c r="G78" s="4">
        <v>5</v>
      </c>
      <c r="H78" s="4">
        <v>6</v>
      </c>
      <c r="I78" s="13">
        <v>7</v>
      </c>
      <c r="J78" s="13">
        <v>8</v>
      </c>
    </row>
    <row r="79" spans="1:13" ht="15.6" x14ac:dyDescent="0.3">
      <c r="A79" s="12">
        <v>1</v>
      </c>
      <c r="B79" s="2" t="s">
        <v>2</v>
      </c>
      <c r="C79" s="14">
        <v>1</v>
      </c>
      <c r="D79" s="14">
        <v>3</v>
      </c>
      <c r="E79" s="14">
        <v>3</v>
      </c>
      <c r="F79" s="14">
        <v>1</v>
      </c>
      <c r="G79" s="14">
        <v>3</v>
      </c>
      <c r="H79" s="14">
        <v>5</v>
      </c>
      <c r="I79" s="15">
        <v>0.33333333333333331</v>
      </c>
      <c r="J79" s="15">
        <v>0.2</v>
      </c>
      <c r="K79">
        <f>SUM(C79:J79)</f>
        <v>16.533333333333331</v>
      </c>
      <c r="L79">
        <f>K79/125.5048</f>
        <v>0.13173466937785114</v>
      </c>
      <c r="M79">
        <f>L79*C87</f>
        <v>1.4754282970319326</v>
      </c>
    </row>
    <row r="80" spans="1:13" ht="15.6" x14ac:dyDescent="0.3">
      <c r="A80" s="12">
        <v>2</v>
      </c>
      <c r="B80" s="2" t="s">
        <v>3</v>
      </c>
      <c r="C80" s="15">
        <v>0.33333333333333331</v>
      </c>
      <c r="D80" s="14">
        <v>1</v>
      </c>
      <c r="E80" s="15">
        <v>0.33333333333333331</v>
      </c>
      <c r="F80" s="15">
        <v>0.2</v>
      </c>
      <c r="G80" s="15">
        <v>0.33333333333333331</v>
      </c>
      <c r="H80" s="14">
        <v>3</v>
      </c>
      <c r="I80" s="15">
        <v>0.2</v>
      </c>
      <c r="J80" s="15">
        <v>0.14285714285714285</v>
      </c>
      <c r="K80">
        <f t="shared" ref="K80:K85" si="9">SUM(C80:J80)</f>
        <v>5.5428571428571427</v>
      </c>
      <c r="L80">
        <f t="shared" ref="L80:L86" si="10">K80/125.5048</f>
        <v>4.4164503213081435E-2</v>
      </c>
      <c r="M80">
        <f>L80*D87</f>
        <v>1.2071630878242261</v>
      </c>
    </row>
    <row r="81" spans="1:15" ht="15.6" x14ac:dyDescent="0.3">
      <c r="A81" s="12">
        <v>3</v>
      </c>
      <c r="B81" s="2" t="s">
        <v>4</v>
      </c>
      <c r="C81" s="15">
        <v>0.33333333333333331</v>
      </c>
      <c r="D81" s="16">
        <v>3</v>
      </c>
      <c r="E81" s="14">
        <v>1</v>
      </c>
      <c r="F81" s="15">
        <v>0.33333333333333331</v>
      </c>
      <c r="G81" s="14">
        <v>1</v>
      </c>
      <c r="H81" s="14">
        <v>3</v>
      </c>
      <c r="I81" s="15">
        <v>0.2</v>
      </c>
      <c r="J81" s="15">
        <v>0.2</v>
      </c>
      <c r="K81">
        <f t="shared" si="9"/>
        <v>9.0666666666666664</v>
      </c>
      <c r="L81">
        <f t="shared" si="10"/>
        <v>7.2241592884628045E-2</v>
      </c>
      <c r="M81">
        <f>L81*E87</f>
        <v>1.3485097338463903</v>
      </c>
    </row>
    <row r="82" spans="1:15" ht="15.6" x14ac:dyDescent="0.3">
      <c r="A82" s="12">
        <v>4</v>
      </c>
      <c r="B82" s="2" t="s">
        <v>5</v>
      </c>
      <c r="C82" s="15">
        <v>1</v>
      </c>
      <c r="D82" s="16">
        <v>5</v>
      </c>
      <c r="E82" s="16">
        <v>3</v>
      </c>
      <c r="F82" s="14">
        <v>1</v>
      </c>
      <c r="G82" s="14">
        <v>3</v>
      </c>
      <c r="H82" s="14">
        <v>5</v>
      </c>
      <c r="I82" s="15">
        <v>0.33333333333333331</v>
      </c>
      <c r="J82" s="15">
        <v>0.33333333333333331</v>
      </c>
      <c r="K82">
        <f t="shared" si="9"/>
        <v>18.666666666666664</v>
      </c>
      <c r="L82">
        <f t="shared" si="10"/>
        <v>0.14873269123305774</v>
      </c>
      <c r="M82">
        <f>L82*F87</f>
        <v>1.3485097338463901</v>
      </c>
    </row>
    <row r="83" spans="1:15" ht="15.6" x14ac:dyDescent="0.3">
      <c r="A83" s="12">
        <v>5</v>
      </c>
      <c r="B83" s="2" t="s">
        <v>6</v>
      </c>
      <c r="C83" s="15">
        <v>0.33333333333333331</v>
      </c>
      <c r="D83" s="15">
        <v>3</v>
      </c>
      <c r="E83" s="15">
        <v>1</v>
      </c>
      <c r="F83" s="15">
        <v>0.33333333333333331</v>
      </c>
      <c r="G83" s="14">
        <v>1</v>
      </c>
      <c r="H83" s="14">
        <v>3</v>
      </c>
      <c r="I83" s="15">
        <v>0.2</v>
      </c>
      <c r="J83" s="15">
        <v>0.14285714285714285</v>
      </c>
      <c r="K83">
        <f t="shared" si="9"/>
        <v>9.0095238095238095</v>
      </c>
      <c r="L83">
        <f t="shared" si="10"/>
        <v>7.1786288727792164E-2</v>
      </c>
      <c r="M83">
        <f>L83*G87</f>
        <v>1.3400107229187872</v>
      </c>
    </row>
    <row r="84" spans="1:15" ht="15.6" x14ac:dyDescent="0.3">
      <c r="A84" s="12">
        <v>6</v>
      </c>
      <c r="B84" s="2" t="s">
        <v>7</v>
      </c>
      <c r="C84" s="15">
        <v>0.2</v>
      </c>
      <c r="D84" s="15">
        <v>0.33333333333333331</v>
      </c>
      <c r="E84" s="15">
        <v>0.33333333333333331</v>
      </c>
      <c r="F84" s="15">
        <v>0.2</v>
      </c>
      <c r="G84" s="15">
        <v>0.33333333333333331</v>
      </c>
      <c r="H84" s="14">
        <v>1</v>
      </c>
      <c r="I84" s="15">
        <v>0.14285714285714285</v>
      </c>
      <c r="J84" s="15">
        <v>0.14285714285714285</v>
      </c>
      <c r="K84">
        <f t="shared" si="9"/>
        <v>2.6857142857142855</v>
      </c>
      <c r="L84">
        <f t="shared" si="10"/>
        <v>2.1399295371286878E-2</v>
      </c>
      <c r="M84">
        <f>L84*H87</f>
        <v>0.72757604262375386</v>
      </c>
    </row>
    <row r="85" spans="1:15" ht="15.6" x14ac:dyDescent="0.3">
      <c r="A85" s="12">
        <v>7</v>
      </c>
      <c r="B85" s="2" t="s">
        <v>8</v>
      </c>
      <c r="C85" s="16">
        <v>3</v>
      </c>
      <c r="D85" s="16">
        <v>5</v>
      </c>
      <c r="E85" s="16">
        <v>5</v>
      </c>
      <c r="F85" s="16">
        <v>3</v>
      </c>
      <c r="G85" s="16">
        <v>5</v>
      </c>
      <c r="H85" s="16">
        <v>7</v>
      </c>
      <c r="I85" s="14">
        <v>1</v>
      </c>
      <c r="J85" s="15">
        <v>1</v>
      </c>
      <c r="K85">
        <f t="shared" si="9"/>
        <v>30</v>
      </c>
      <c r="L85">
        <f t="shared" si="10"/>
        <v>0.23903468233884281</v>
      </c>
      <c r="M85">
        <f>L85*I87</f>
        <v>0.81499444073624494</v>
      </c>
    </row>
    <row r="86" spans="1:15" ht="15.6" x14ac:dyDescent="0.3">
      <c r="A86" s="12">
        <v>8</v>
      </c>
      <c r="B86" s="2" t="s">
        <v>9</v>
      </c>
      <c r="C86" s="15">
        <v>5</v>
      </c>
      <c r="D86" s="15">
        <v>7</v>
      </c>
      <c r="E86" s="15">
        <v>5</v>
      </c>
      <c r="F86" s="15">
        <v>3</v>
      </c>
      <c r="G86" s="15">
        <v>5</v>
      </c>
      <c r="H86" s="15">
        <v>7</v>
      </c>
      <c r="I86" s="15">
        <v>1</v>
      </c>
      <c r="J86" s="14">
        <v>1</v>
      </c>
      <c r="K86" s="20">
        <f>SUM(C86:J86)</f>
        <v>34</v>
      </c>
      <c r="L86">
        <f t="shared" si="10"/>
        <v>0.27090597331735516</v>
      </c>
      <c r="M86">
        <f>L86*J87</f>
        <v>0.8565788870605896</v>
      </c>
    </row>
    <row r="87" spans="1:15" x14ac:dyDescent="0.3">
      <c r="C87">
        <f>SUM(C79:C86)</f>
        <v>11.2</v>
      </c>
      <c r="D87">
        <f t="shared" ref="D87:J87" si="11">SUM(D79:D86)</f>
        <v>27.333333333333336</v>
      </c>
      <c r="E87">
        <f t="shared" si="11"/>
        <v>18.666666666666668</v>
      </c>
      <c r="F87">
        <f t="shared" si="11"/>
        <v>9.0666666666666664</v>
      </c>
      <c r="G87">
        <f t="shared" si="11"/>
        <v>18.666666666666668</v>
      </c>
      <c r="H87">
        <f t="shared" si="11"/>
        <v>34</v>
      </c>
      <c r="I87">
        <f t="shared" si="11"/>
        <v>3.4095238095238094</v>
      </c>
      <c r="J87">
        <f t="shared" si="11"/>
        <v>3.1619047619047618</v>
      </c>
      <c r="L87">
        <f>SUM(L79:L86)</f>
        <v>0.9999996964638953</v>
      </c>
    </row>
    <row r="89" spans="1:15" x14ac:dyDescent="0.3">
      <c r="N89">
        <f>SUM(M79:M86)</f>
        <v>9.1187709458883148</v>
      </c>
    </row>
    <row r="91" spans="1:15" x14ac:dyDescent="0.3">
      <c r="K91">
        <f>SUM(K79:K86)</f>
        <v>125.50476190476191</v>
      </c>
    </row>
    <row r="92" spans="1:15" ht="15.6" x14ac:dyDescent="0.3">
      <c r="M92" s="10" t="s">
        <v>18</v>
      </c>
      <c r="N92">
        <f>(N89-8)/7</f>
        <v>0.15982442084118784</v>
      </c>
    </row>
    <row r="93" spans="1:15" ht="15.6" x14ac:dyDescent="0.3">
      <c r="M93" s="1"/>
    </row>
    <row r="94" spans="1:15" ht="15.6" x14ac:dyDescent="0.3">
      <c r="M94" s="21" t="s">
        <v>19</v>
      </c>
      <c r="N94">
        <f>(N92/1.41)</f>
        <v>0.11335065307885663</v>
      </c>
      <c r="O94">
        <f>N94*100</f>
        <v>11.335065307885662</v>
      </c>
    </row>
    <row r="96" spans="1:15" x14ac:dyDescent="0.3">
      <c r="A96" s="67" t="s">
        <v>20</v>
      </c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</row>
    <row r="100" spans="1:14" ht="15.6" x14ac:dyDescent="0.3">
      <c r="A100" s="63"/>
      <c r="B100" s="61" t="s">
        <v>0</v>
      </c>
      <c r="C100" s="51" t="s">
        <v>1</v>
      </c>
      <c r="D100" s="52"/>
      <c r="E100" s="52"/>
      <c r="F100" s="52"/>
      <c r="G100" s="52"/>
      <c r="H100" s="52"/>
      <c r="I100" s="52"/>
      <c r="J100" s="53"/>
    </row>
    <row r="101" spans="1:14" ht="15.6" x14ac:dyDescent="0.3">
      <c r="A101" s="64"/>
      <c r="B101" s="61"/>
      <c r="C101" s="17">
        <v>1</v>
      </c>
      <c r="D101" s="17">
        <v>2</v>
      </c>
      <c r="E101" s="17">
        <v>3</v>
      </c>
      <c r="F101" s="17">
        <v>4</v>
      </c>
      <c r="G101" s="17">
        <v>5</v>
      </c>
      <c r="H101" s="17">
        <v>6</v>
      </c>
      <c r="I101" s="13">
        <v>7</v>
      </c>
      <c r="J101" s="13">
        <v>8</v>
      </c>
    </row>
    <row r="102" spans="1:14" ht="15.6" x14ac:dyDescent="0.3">
      <c r="A102" s="12">
        <v>1</v>
      </c>
      <c r="B102" s="2" t="s">
        <v>2</v>
      </c>
      <c r="C102" s="15">
        <v>1</v>
      </c>
      <c r="D102" s="15">
        <v>7</v>
      </c>
      <c r="E102" s="15">
        <v>5</v>
      </c>
      <c r="F102" s="15">
        <v>9</v>
      </c>
      <c r="G102" s="15">
        <v>3</v>
      </c>
      <c r="H102" s="15">
        <v>3</v>
      </c>
      <c r="I102" s="15">
        <v>7</v>
      </c>
      <c r="J102" s="15">
        <v>9</v>
      </c>
      <c r="K102">
        <f>SUM(C102:J102)</f>
        <v>44</v>
      </c>
      <c r="L102">
        <f>K102/$K$114</f>
        <v>0.28764735181803086</v>
      </c>
      <c r="M102">
        <f>L102*C110</f>
        <v>0.68304831479329231</v>
      </c>
    </row>
    <row r="103" spans="1:14" ht="15.6" x14ac:dyDescent="0.3">
      <c r="A103" s="12">
        <v>2</v>
      </c>
      <c r="B103" s="2" t="s">
        <v>3</v>
      </c>
      <c r="C103" s="15">
        <v>0.14285714285714285</v>
      </c>
      <c r="D103" s="15">
        <v>0.33333333333333331</v>
      </c>
      <c r="E103" s="15">
        <v>0.33333333333333331</v>
      </c>
      <c r="F103" s="15">
        <v>5</v>
      </c>
      <c r="G103" s="15">
        <v>0.2</v>
      </c>
      <c r="H103" s="15">
        <v>0.2</v>
      </c>
      <c r="I103" s="15">
        <v>3</v>
      </c>
      <c r="J103" s="15">
        <v>5</v>
      </c>
      <c r="K103">
        <f t="shared" ref="K103:K108" si="12">SUM(C103:J103)</f>
        <v>14.209523809523809</v>
      </c>
      <c r="L103">
        <f t="shared" ref="L103:L109" si="13">K103/$K$114</f>
        <v>9.2893906691017769E-2</v>
      </c>
      <c r="M103">
        <f>L103*D110</f>
        <v>1.7711771542420718</v>
      </c>
    </row>
    <row r="104" spans="1:14" ht="15.6" x14ac:dyDescent="0.3">
      <c r="A104" s="12">
        <v>3</v>
      </c>
      <c r="B104" s="2" t="s">
        <v>4</v>
      </c>
      <c r="C104" s="15">
        <v>0.2</v>
      </c>
      <c r="D104" s="15">
        <v>1</v>
      </c>
      <c r="E104" s="15">
        <v>1</v>
      </c>
      <c r="F104" s="15">
        <v>7</v>
      </c>
      <c r="G104" s="15">
        <v>0.33333333333333331</v>
      </c>
      <c r="H104" s="15">
        <v>0.33333333333333331</v>
      </c>
      <c r="I104" s="15">
        <v>5</v>
      </c>
      <c r="J104" s="15">
        <v>7</v>
      </c>
      <c r="K104">
        <f t="shared" si="12"/>
        <v>21.866666666666667</v>
      </c>
      <c r="L104">
        <f t="shared" si="13"/>
        <v>0.14295201726714263</v>
      </c>
      <c r="M104">
        <f>L104*E110</f>
        <v>1.8325087165864187</v>
      </c>
    </row>
    <row r="105" spans="1:14" ht="15.6" x14ac:dyDescent="0.3">
      <c r="A105" s="12">
        <v>4</v>
      </c>
      <c r="B105" s="2" t="s">
        <v>5</v>
      </c>
      <c r="C105" s="15">
        <v>0.1111111111111111</v>
      </c>
      <c r="D105" s="15">
        <v>0.2</v>
      </c>
      <c r="E105" s="15">
        <v>0.14285714285714285</v>
      </c>
      <c r="F105" s="15">
        <v>1</v>
      </c>
      <c r="G105" s="15">
        <v>0.14285714285714285</v>
      </c>
      <c r="H105" s="15">
        <v>0.14285714285714285</v>
      </c>
      <c r="I105" s="15">
        <v>0.33333333333333331</v>
      </c>
      <c r="J105" s="15">
        <v>1</v>
      </c>
      <c r="K105">
        <f t="shared" si="12"/>
        <v>3.0730158730158728</v>
      </c>
      <c r="L105">
        <f t="shared" si="13"/>
        <v>2.0089656317449776E-2</v>
      </c>
      <c r="M105">
        <f>L105*F110</f>
        <v>0.803586252697991</v>
      </c>
    </row>
    <row r="106" spans="1:14" ht="15.6" x14ac:dyDescent="0.3">
      <c r="A106" s="12">
        <v>5</v>
      </c>
      <c r="B106" s="2" t="s">
        <v>6</v>
      </c>
      <c r="C106" s="15">
        <v>0.33333333333333331</v>
      </c>
      <c r="D106" s="15">
        <v>5</v>
      </c>
      <c r="E106" s="15">
        <v>3</v>
      </c>
      <c r="F106" s="15">
        <v>7</v>
      </c>
      <c r="G106" s="15">
        <v>1</v>
      </c>
      <c r="H106" s="15">
        <v>1</v>
      </c>
      <c r="I106" s="15">
        <v>5</v>
      </c>
      <c r="J106" s="15">
        <v>7</v>
      </c>
      <c r="K106">
        <f t="shared" si="12"/>
        <v>29.333333333333332</v>
      </c>
      <c r="L106">
        <f t="shared" si="13"/>
        <v>0.19176490121202058</v>
      </c>
      <c r="M106">
        <f>L106*G110</f>
        <v>1.1542420720571145</v>
      </c>
    </row>
    <row r="107" spans="1:14" ht="15.6" x14ac:dyDescent="0.3">
      <c r="A107" s="12">
        <v>6</v>
      </c>
      <c r="B107" s="2" t="s">
        <v>7</v>
      </c>
      <c r="C107" s="15">
        <v>0.33333333333333331</v>
      </c>
      <c r="D107" s="15">
        <v>5</v>
      </c>
      <c r="E107" s="15">
        <v>3</v>
      </c>
      <c r="F107" s="15">
        <v>7</v>
      </c>
      <c r="G107" s="15">
        <v>1</v>
      </c>
      <c r="H107" s="15">
        <v>1</v>
      </c>
      <c r="I107" s="15">
        <v>5</v>
      </c>
      <c r="J107" s="15">
        <v>7</v>
      </c>
      <c r="K107">
        <f t="shared" si="12"/>
        <v>29.333333333333332</v>
      </c>
      <c r="L107">
        <f t="shared" si="13"/>
        <v>0.19176490121202058</v>
      </c>
      <c r="M107">
        <f>L107*H110</f>
        <v>1.1542420720571145</v>
      </c>
    </row>
    <row r="108" spans="1:14" ht="15.6" x14ac:dyDescent="0.3">
      <c r="A108" s="12">
        <v>7</v>
      </c>
      <c r="B108" s="2" t="s">
        <v>8</v>
      </c>
      <c r="C108" s="15">
        <v>0.14285714285714285</v>
      </c>
      <c r="D108" s="15">
        <v>0.33333333333333331</v>
      </c>
      <c r="E108" s="15">
        <v>0.2</v>
      </c>
      <c r="F108" s="15">
        <v>3</v>
      </c>
      <c r="G108" s="15">
        <v>0.2</v>
      </c>
      <c r="H108" s="15">
        <v>0.2</v>
      </c>
      <c r="I108" s="15">
        <v>1</v>
      </c>
      <c r="J108" s="15">
        <v>3</v>
      </c>
      <c r="K108">
        <f t="shared" si="12"/>
        <v>8.0761904761904759</v>
      </c>
      <c r="L108">
        <f t="shared" si="13"/>
        <v>5.2797609164868003E-2</v>
      </c>
      <c r="M108">
        <f>L108*I110</f>
        <v>1.4079362443964802</v>
      </c>
    </row>
    <row r="109" spans="1:14" ht="15.6" x14ac:dyDescent="0.3">
      <c r="A109" s="12">
        <v>8</v>
      </c>
      <c r="B109" s="2" t="s">
        <v>9</v>
      </c>
      <c r="C109" s="15">
        <v>0.1111111111111111</v>
      </c>
      <c r="D109" s="15">
        <v>0.2</v>
      </c>
      <c r="E109" s="15">
        <v>0.14285714285714285</v>
      </c>
      <c r="F109" s="15">
        <v>1</v>
      </c>
      <c r="G109" s="15">
        <v>0.14285714285714285</v>
      </c>
      <c r="H109" s="15">
        <v>0.14285714285714285</v>
      </c>
      <c r="I109" s="15">
        <v>0.33333333333333331</v>
      </c>
      <c r="J109" s="15">
        <v>1</v>
      </c>
      <c r="K109" s="20">
        <f>SUM(C109:J109)</f>
        <v>3.0730158730158728</v>
      </c>
      <c r="L109">
        <f t="shared" si="13"/>
        <v>2.0089656317449776E-2</v>
      </c>
      <c r="M109">
        <f>L109*J110</f>
        <v>0.803586252697991</v>
      </c>
    </row>
    <row r="110" spans="1:14" x14ac:dyDescent="0.3">
      <c r="C110">
        <f>SUM(C102:C109)</f>
        <v>2.3746031746031746</v>
      </c>
      <c r="D110">
        <f t="shared" ref="D110:J110" si="14">SUM(D102:D109)</f>
        <v>19.066666666666663</v>
      </c>
      <c r="E110">
        <f t="shared" si="14"/>
        <v>12.819047619047618</v>
      </c>
      <c r="F110">
        <f t="shared" si="14"/>
        <v>40</v>
      </c>
      <c r="G110">
        <f t="shared" si="14"/>
        <v>6.0190476190476199</v>
      </c>
      <c r="H110">
        <f t="shared" si="14"/>
        <v>6.0190476190476199</v>
      </c>
      <c r="I110">
        <f t="shared" si="14"/>
        <v>26.666666666666668</v>
      </c>
      <c r="J110">
        <f t="shared" si="14"/>
        <v>40</v>
      </c>
      <c r="L110">
        <f>SUM(L102:L109)</f>
        <v>0.99999999999999989</v>
      </c>
    </row>
    <row r="112" spans="1:14" x14ac:dyDescent="0.3">
      <c r="N112">
        <f>SUM(M102:M109)</f>
        <v>9.6103270795284725</v>
      </c>
    </row>
    <row r="114" spans="1:15" x14ac:dyDescent="0.3">
      <c r="K114">
        <f>SUM(K102:K109)</f>
        <v>152.96507936507936</v>
      </c>
    </row>
    <row r="115" spans="1:15" ht="15.6" x14ac:dyDescent="0.3">
      <c r="M115" s="18" t="s">
        <v>18</v>
      </c>
      <c r="N115">
        <f>(N112-8)/7</f>
        <v>0.23004672564692466</v>
      </c>
    </row>
    <row r="116" spans="1:15" ht="15.6" x14ac:dyDescent="0.3">
      <c r="M116" s="1"/>
    </row>
    <row r="117" spans="1:15" ht="15.6" x14ac:dyDescent="0.3">
      <c r="B117" t="s">
        <v>27</v>
      </c>
      <c r="M117" s="21" t="s">
        <v>19</v>
      </c>
      <c r="N117">
        <f>(N115/1.41)</f>
        <v>0.16315370613257069</v>
      </c>
      <c r="O117" s="28">
        <f>N117*100</f>
        <v>16.31537061325707</v>
      </c>
    </row>
    <row r="118" spans="1:15" x14ac:dyDescent="0.3">
      <c r="B118" s="29" t="s">
        <v>21</v>
      </c>
    </row>
    <row r="121" spans="1:15" ht="15.6" x14ac:dyDescent="0.3">
      <c r="A121" s="63"/>
      <c r="B121" s="61" t="s">
        <v>0</v>
      </c>
      <c r="C121" s="51" t="s">
        <v>1</v>
      </c>
      <c r="D121" s="52"/>
      <c r="E121" s="52"/>
      <c r="F121" s="52"/>
      <c r="G121" s="52"/>
      <c r="H121" s="52"/>
      <c r="I121" s="52"/>
      <c r="J121" s="53"/>
    </row>
    <row r="122" spans="1:15" ht="15.6" x14ac:dyDescent="0.3">
      <c r="A122" s="64"/>
      <c r="B122" s="61"/>
      <c r="C122" s="17">
        <v>1</v>
      </c>
      <c r="D122" s="17">
        <v>2</v>
      </c>
      <c r="E122" s="17">
        <v>3</v>
      </c>
      <c r="F122" s="17">
        <v>4</v>
      </c>
      <c r="G122" s="17">
        <v>5</v>
      </c>
      <c r="H122" s="17">
        <v>6</v>
      </c>
      <c r="I122" s="13">
        <v>7</v>
      </c>
      <c r="J122" s="13">
        <v>8</v>
      </c>
    </row>
    <row r="123" spans="1:15" ht="15.6" x14ac:dyDescent="0.3">
      <c r="A123" s="12">
        <v>1</v>
      </c>
      <c r="B123" s="2" t="s">
        <v>2</v>
      </c>
      <c r="C123" s="15">
        <v>1</v>
      </c>
      <c r="D123" s="15">
        <v>7</v>
      </c>
      <c r="E123" s="15">
        <v>5</v>
      </c>
      <c r="F123" s="15">
        <v>9</v>
      </c>
      <c r="G123" s="15">
        <v>3</v>
      </c>
      <c r="H123" s="15">
        <v>3</v>
      </c>
      <c r="I123" s="15">
        <v>7</v>
      </c>
      <c r="J123" s="15">
        <v>9</v>
      </c>
      <c r="K123" s="20">
        <f>SUM(C123:J123)</f>
        <v>44</v>
      </c>
      <c r="L123" s="27">
        <f t="shared" ref="L123:L128" si="15">K123/$K$135</f>
        <v>0.31026146131805155</v>
      </c>
      <c r="M123">
        <f>L123*C129</f>
        <v>0.65795128939828074</v>
      </c>
    </row>
    <row r="124" spans="1:15" ht="15.6" x14ac:dyDescent="0.3">
      <c r="A124" s="12">
        <v>2</v>
      </c>
      <c r="B124" s="2" t="s">
        <v>3</v>
      </c>
      <c r="C124" s="15">
        <v>0.14285714285714285</v>
      </c>
      <c r="D124" s="15">
        <v>0.33333333333333331</v>
      </c>
      <c r="E124" s="15">
        <v>0.33333333333333331</v>
      </c>
      <c r="F124" s="15">
        <v>5</v>
      </c>
      <c r="G124" s="15">
        <v>0.2</v>
      </c>
      <c r="H124" s="15">
        <v>0.2</v>
      </c>
      <c r="I124" s="15">
        <v>3</v>
      </c>
      <c r="J124" s="15">
        <v>5</v>
      </c>
      <c r="K124" s="20">
        <f>SUM(C124:J124)</f>
        <v>14.209523809523809</v>
      </c>
      <c r="L124" s="27">
        <f t="shared" si="15"/>
        <v>0.10019699140401145</v>
      </c>
      <c r="M124">
        <f>L124*D129</f>
        <v>1.8569842406876786</v>
      </c>
    </row>
    <row r="125" spans="1:15" ht="15.6" x14ac:dyDescent="0.3">
      <c r="A125" s="12">
        <v>3</v>
      </c>
      <c r="B125" s="2" t="s">
        <v>4</v>
      </c>
      <c r="C125" s="15">
        <v>0.2</v>
      </c>
      <c r="D125" s="15">
        <v>1</v>
      </c>
      <c r="E125" s="15">
        <v>1</v>
      </c>
      <c r="F125" s="15">
        <v>7</v>
      </c>
      <c r="G125" s="15">
        <v>0.33333333333333331</v>
      </c>
      <c r="H125" s="15">
        <v>0.33333333333333331</v>
      </c>
      <c r="I125" s="15">
        <v>5</v>
      </c>
      <c r="J125" s="15">
        <v>7</v>
      </c>
      <c r="K125">
        <f t="shared" ref="K125:K126" si="16">SUM(C125:J125)</f>
        <v>21.866666666666667</v>
      </c>
      <c r="L125" s="27">
        <f t="shared" si="15"/>
        <v>0.15419054441260743</v>
      </c>
      <c r="M125">
        <f>L125*E129</f>
        <v>1.9237106017191976</v>
      </c>
    </row>
    <row r="126" spans="1:15" ht="15.6" x14ac:dyDescent="0.3">
      <c r="A126" s="12">
        <v>4</v>
      </c>
      <c r="B126" s="34" t="s">
        <v>5</v>
      </c>
      <c r="C126" s="15">
        <v>0.1111111111111111</v>
      </c>
      <c r="D126" s="15">
        <v>0.2</v>
      </c>
      <c r="E126" s="15">
        <v>0.14285714285714285</v>
      </c>
      <c r="F126" s="15">
        <v>1</v>
      </c>
      <c r="G126" s="15">
        <v>0.14285714285714285</v>
      </c>
      <c r="H126" s="15">
        <v>0.14285714285714285</v>
      </c>
      <c r="I126" s="15">
        <v>0.33333333333333331</v>
      </c>
      <c r="J126" s="15">
        <v>1</v>
      </c>
      <c r="K126">
        <f t="shared" si="16"/>
        <v>3.0730158730158728</v>
      </c>
      <c r="L126" s="27">
        <f t="shared" si="15"/>
        <v>2.1669054441260743E-2</v>
      </c>
      <c r="M126">
        <f>L126*F129</f>
        <v>0.78008595988538676</v>
      </c>
    </row>
    <row r="127" spans="1:15" ht="15.6" x14ac:dyDescent="0.3">
      <c r="A127" s="12">
        <v>5</v>
      </c>
      <c r="B127" s="2" t="s">
        <v>6</v>
      </c>
      <c r="C127" s="15">
        <v>0.33333333333333331</v>
      </c>
      <c r="D127" s="15">
        <v>5</v>
      </c>
      <c r="E127" s="15">
        <v>3</v>
      </c>
      <c r="F127" s="15">
        <v>7</v>
      </c>
      <c r="G127" s="15">
        <v>1</v>
      </c>
      <c r="H127" s="15">
        <v>1</v>
      </c>
      <c r="I127" s="15">
        <v>5</v>
      </c>
      <c r="J127" s="15">
        <v>7</v>
      </c>
      <c r="K127">
        <f>SUM(C127:J127)</f>
        <v>29.333333333333332</v>
      </c>
      <c r="L127" s="27">
        <f t="shared" si="15"/>
        <v>0.20684097421203437</v>
      </c>
      <c r="M127">
        <f>L127*G129</f>
        <v>1.1740687679083095</v>
      </c>
    </row>
    <row r="128" spans="1:15" ht="15.6" x14ac:dyDescent="0.3">
      <c r="A128" s="12">
        <v>6</v>
      </c>
      <c r="B128" s="2" t="s">
        <v>7</v>
      </c>
      <c r="C128" s="15">
        <v>0.33333333333333331</v>
      </c>
      <c r="D128" s="15">
        <v>5</v>
      </c>
      <c r="E128" s="15">
        <v>3</v>
      </c>
      <c r="F128" s="15">
        <v>7</v>
      </c>
      <c r="G128" s="15">
        <v>1</v>
      </c>
      <c r="H128" s="15">
        <v>1</v>
      </c>
      <c r="I128" s="15">
        <v>5</v>
      </c>
      <c r="J128" s="15">
        <v>7</v>
      </c>
      <c r="K128">
        <f>SUM(C128:J128)</f>
        <v>29.333333333333332</v>
      </c>
      <c r="L128" s="27">
        <f t="shared" si="15"/>
        <v>0.20684097421203437</v>
      </c>
      <c r="M128">
        <f>L128*H129</f>
        <v>1.1740687679083095</v>
      </c>
    </row>
    <row r="129" spans="1:15" x14ac:dyDescent="0.3">
      <c r="C129" s="27">
        <f t="shared" ref="C129:J129" si="17">SUM(C123:C128)</f>
        <v>2.1206349206349207</v>
      </c>
      <c r="D129" s="27">
        <f t="shared" si="17"/>
        <v>18.533333333333331</v>
      </c>
      <c r="E129" s="27">
        <f t="shared" si="17"/>
        <v>12.476190476190476</v>
      </c>
      <c r="F129" s="27">
        <f t="shared" si="17"/>
        <v>36</v>
      </c>
      <c r="G129" s="27">
        <f t="shared" si="17"/>
        <v>5.6761904761904765</v>
      </c>
      <c r="H129" s="27">
        <f t="shared" si="17"/>
        <v>5.6761904761904765</v>
      </c>
      <c r="I129" s="27">
        <f t="shared" si="17"/>
        <v>25.333333333333336</v>
      </c>
      <c r="J129" s="27">
        <f t="shared" si="17"/>
        <v>36</v>
      </c>
    </row>
    <row r="130" spans="1:15" ht="15.6" x14ac:dyDescent="0.3">
      <c r="A130" s="24"/>
      <c r="B130" s="25"/>
      <c r="C130" s="26"/>
      <c r="D130" s="26"/>
      <c r="E130" s="26"/>
      <c r="F130" s="26"/>
      <c r="G130" s="26"/>
      <c r="H130" s="26"/>
      <c r="I130" s="26"/>
      <c r="J130" s="26"/>
      <c r="K130" s="20"/>
      <c r="L130" s="23"/>
    </row>
    <row r="131" spans="1:15" x14ac:dyDescent="0.3">
      <c r="L131">
        <f>SUM(L123:L130)</f>
        <v>1</v>
      </c>
    </row>
    <row r="133" spans="1:15" x14ac:dyDescent="0.3">
      <c r="N133">
        <f>SUM(M123:M128)</f>
        <v>7.5668696275071632</v>
      </c>
    </row>
    <row r="135" spans="1:15" x14ac:dyDescent="0.3">
      <c r="K135">
        <f>SUM(K123:K130)</f>
        <v>141.81587301587302</v>
      </c>
    </row>
    <row r="136" spans="1:15" ht="15.6" x14ac:dyDescent="0.3">
      <c r="M136" s="18" t="s">
        <v>18</v>
      </c>
      <c r="N136">
        <f>(N133-6)/5</f>
        <v>0.31337392550143262</v>
      </c>
    </row>
    <row r="137" spans="1:15" ht="15.6" x14ac:dyDescent="0.3">
      <c r="M137" s="1"/>
    </row>
    <row r="138" spans="1:15" ht="15.6" x14ac:dyDescent="0.3">
      <c r="M138" s="21" t="s">
        <v>19</v>
      </c>
      <c r="N138">
        <f>(N136/1.24)</f>
        <v>0.25272090766244565</v>
      </c>
      <c r="O138" s="22">
        <f>N138*100</f>
        <v>25.272090766244563</v>
      </c>
    </row>
    <row r="139" spans="1:15" x14ac:dyDescent="0.3">
      <c r="B139" s="29" t="s">
        <v>25</v>
      </c>
    </row>
    <row r="142" spans="1:15" ht="15.6" x14ac:dyDescent="0.3">
      <c r="A142" s="65"/>
      <c r="B142" s="61" t="s">
        <v>0</v>
      </c>
      <c r="C142" s="66" t="s">
        <v>1</v>
      </c>
      <c r="D142" s="66"/>
      <c r="E142" s="66"/>
      <c r="F142" s="7"/>
      <c r="G142" s="7"/>
      <c r="H142" s="7"/>
      <c r="I142" s="7"/>
      <c r="J142" s="7"/>
    </row>
    <row r="143" spans="1:15" ht="15.6" x14ac:dyDescent="0.3">
      <c r="A143" s="65"/>
      <c r="B143" s="61"/>
      <c r="C143" s="17">
        <v>1</v>
      </c>
      <c r="D143" s="17">
        <v>2</v>
      </c>
      <c r="E143" s="17">
        <v>3</v>
      </c>
      <c r="F143" s="5"/>
      <c r="G143" s="5"/>
      <c r="H143" s="5"/>
      <c r="I143" s="30"/>
      <c r="J143" s="30"/>
    </row>
    <row r="144" spans="1:15" ht="15.6" x14ac:dyDescent="0.3">
      <c r="A144" s="12">
        <v>1</v>
      </c>
      <c r="B144" s="2" t="s">
        <v>22</v>
      </c>
      <c r="C144" s="15">
        <v>1</v>
      </c>
      <c r="D144" s="15">
        <v>3</v>
      </c>
      <c r="E144" s="15">
        <v>5</v>
      </c>
      <c r="F144" s="27">
        <f>SUM(C144:E144)</f>
        <v>9</v>
      </c>
      <c r="G144" s="27">
        <f>F144/$F$150</f>
        <v>0.60538116591928259</v>
      </c>
      <c r="H144">
        <f>G144*C147</f>
        <v>0.9282511210762332</v>
      </c>
      <c r="I144" s="26"/>
      <c r="J144" s="26"/>
    </row>
    <row r="145" spans="1:13" ht="15.6" x14ac:dyDescent="0.3">
      <c r="A145" s="12">
        <v>2</v>
      </c>
      <c r="B145" s="2" t="s">
        <v>23</v>
      </c>
      <c r="C145" s="15">
        <v>0.33333333333333331</v>
      </c>
      <c r="D145" s="15">
        <v>1</v>
      </c>
      <c r="E145" s="15">
        <v>3</v>
      </c>
      <c r="F145" s="27">
        <f t="shared" ref="F145:F146" si="18">SUM(C145:E145)</f>
        <v>4.333333333333333</v>
      </c>
      <c r="G145" s="27">
        <f>F145/$F$150</f>
        <v>0.2914798206278027</v>
      </c>
      <c r="H145">
        <f>G145*D147</f>
        <v>1.2630792227204783</v>
      </c>
      <c r="I145" s="26"/>
      <c r="J145" s="26"/>
    </row>
    <row r="146" spans="1:13" ht="15.6" x14ac:dyDescent="0.3">
      <c r="A146" s="12">
        <v>3</v>
      </c>
      <c r="B146" s="2" t="s">
        <v>24</v>
      </c>
      <c r="C146" s="15">
        <v>0.2</v>
      </c>
      <c r="D146" s="15">
        <v>0.33333333333333331</v>
      </c>
      <c r="E146" s="15">
        <v>1</v>
      </c>
      <c r="F146" s="27">
        <f t="shared" si="18"/>
        <v>1.5333333333333332</v>
      </c>
      <c r="G146" s="27">
        <f t="shared" ref="G146" si="19">F146/$F$150</f>
        <v>0.1031390134529148</v>
      </c>
      <c r="H146">
        <f>G146*E147</f>
        <v>0.9282511210762332</v>
      </c>
      <c r="I146" s="26"/>
      <c r="J146" s="26"/>
    </row>
    <row r="147" spans="1:13" ht="15.6" x14ac:dyDescent="0.3">
      <c r="A147" s="24"/>
      <c r="B147" s="25"/>
      <c r="C147" s="31">
        <f>SUM(C144:C146)</f>
        <v>1.5333333333333332</v>
      </c>
      <c r="D147" s="31">
        <f t="shared" ref="D147:E147" si="20">SUM(D144:D146)</f>
        <v>4.333333333333333</v>
      </c>
      <c r="E147" s="31">
        <f t="shared" si="20"/>
        <v>9</v>
      </c>
      <c r="F147" s="31"/>
      <c r="G147" s="31"/>
      <c r="H147" s="31"/>
      <c r="I147" s="31"/>
      <c r="J147" s="31"/>
      <c r="L147" s="27"/>
    </row>
    <row r="148" spans="1:13" ht="15.6" x14ac:dyDescent="0.3">
      <c r="A148" s="24"/>
      <c r="B148" s="25"/>
      <c r="C148" s="26"/>
      <c r="D148" s="26"/>
      <c r="E148" s="26"/>
      <c r="F148" s="26"/>
      <c r="G148" s="26"/>
      <c r="H148" s="26"/>
      <c r="I148" s="26"/>
      <c r="J148" s="26"/>
      <c r="L148" s="27"/>
    </row>
    <row r="149" spans="1:13" ht="15.6" x14ac:dyDescent="0.3">
      <c r="A149" s="24"/>
      <c r="B149" s="25"/>
      <c r="C149" s="26"/>
      <c r="D149" s="26"/>
      <c r="E149" s="26"/>
      <c r="F149" s="26"/>
      <c r="G149" s="26"/>
      <c r="H149" s="26"/>
      <c r="I149" s="26"/>
      <c r="J149" s="26"/>
      <c r="L149" s="27"/>
    </row>
    <row r="150" spans="1:13" x14ac:dyDescent="0.3">
      <c r="A150" s="24"/>
      <c r="B150" s="24"/>
      <c r="C150" s="24"/>
      <c r="D150" s="24"/>
      <c r="E150" s="24"/>
      <c r="F150" s="24">
        <f>SUM(F144:F146)</f>
        <v>14.866666666666665</v>
      </c>
      <c r="G150" s="24"/>
      <c r="H150" s="24"/>
      <c r="I150">
        <f>SUM(H144:H146)</f>
        <v>3.1195814648729447</v>
      </c>
      <c r="J150" s="24"/>
    </row>
    <row r="151" spans="1:13" ht="15.6" x14ac:dyDescent="0.3">
      <c r="A151" s="24"/>
      <c r="B151" s="25"/>
      <c r="C151" s="26"/>
      <c r="D151" s="26"/>
      <c r="E151" s="26"/>
      <c r="F151" s="26"/>
      <c r="G151" s="26"/>
      <c r="H151" s="18" t="s">
        <v>18</v>
      </c>
      <c r="I151">
        <f>(I150-3)/2</f>
        <v>5.9790732436472371E-2</v>
      </c>
      <c r="J151" s="26"/>
      <c r="K151" s="20"/>
      <c r="L151" s="23"/>
    </row>
    <row r="152" spans="1:13" ht="15.6" x14ac:dyDescent="0.3">
      <c r="B152" t="s">
        <v>28</v>
      </c>
      <c r="H152" s="21" t="s">
        <v>19</v>
      </c>
      <c r="I152">
        <f>(I151/0.58)</f>
        <v>0.10308746971805582</v>
      </c>
      <c r="J152" s="28">
        <f>I152*100</f>
        <v>10.308746971805583</v>
      </c>
    </row>
    <row r="154" spans="1:13" x14ac:dyDescent="0.3">
      <c r="B154" s="29" t="s">
        <v>26</v>
      </c>
    </row>
    <row r="156" spans="1:13" ht="15.6" x14ac:dyDescent="0.3">
      <c r="A156" s="65"/>
      <c r="B156" s="61" t="s">
        <v>0</v>
      </c>
      <c r="C156" s="66" t="s">
        <v>1</v>
      </c>
      <c r="D156" s="66"/>
      <c r="E156" s="32"/>
      <c r="F156" s="7"/>
      <c r="G156" s="7"/>
      <c r="H156" s="7"/>
      <c r="I156" s="7"/>
      <c r="J156" s="7"/>
    </row>
    <row r="157" spans="1:13" ht="15.6" x14ac:dyDescent="0.3">
      <c r="A157" s="65"/>
      <c r="B157" s="61"/>
      <c r="C157" s="17">
        <v>1</v>
      </c>
      <c r="D157" s="17">
        <v>2</v>
      </c>
      <c r="E157" s="5"/>
      <c r="F157" s="5"/>
      <c r="G157" s="5"/>
      <c r="H157" s="5"/>
      <c r="I157" s="30"/>
      <c r="J157" s="30"/>
      <c r="M157" s="18"/>
    </row>
    <row r="158" spans="1:13" ht="15.6" x14ac:dyDescent="0.3">
      <c r="A158" s="12">
        <v>1</v>
      </c>
      <c r="B158" s="2" t="s">
        <v>22</v>
      </c>
      <c r="C158" s="15">
        <v>1</v>
      </c>
      <c r="D158" s="15">
        <v>5</v>
      </c>
      <c r="E158" s="26"/>
      <c r="F158" s="27">
        <f>SUM(C158:D158)</f>
        <v>6</v>
      </c>
      <c r="G158" s="27">
        <f>F158/$F$164</f>
        <v>0.83333333333333326</v>
      </c>
      <c r="H158">
        <f>G158*C161</f>
        <v>0.99999999999999989</v>
      </c>
      <c r="I158" s="26"/>
      <c r="J158" s="26"/>
      <c r="M158" s="1"/>
    </row>
    <row r="159" spans="1:13" ht="15.6" x14ac:dyDescent="0.3">
      <c r="A159" s="12">
        <v>2</v>
      </c>
      <c r="B159" s="2" t="s">
        <v>23</v>
      </c>
      <c r="C159" s="15">
        <v>0.2</v>
      </c>
      <c r="D159" s="15">
        <v>1</v>
      </c>
      <c r="E159" s="26"/>
      <c r="F159" s="27">
        <f>SUM(C159:D159)</f>
        <v>1.2</v>
      </c>
      <c r="G159" s="27">
        <f>F159/$F$164</f>
        <v>0.16666666666666666</v>
      </c>
      <c r="H159">
        <f>G159*D161</f>
        <v>1</v>
      </c>
      <c r="I159" s="26"/>
      <c r="J159" s="26"/>
      <c r="M159" s="21"/>
    </row>
    <row r="160" spans="1:13" ht="15.6" x14ac:dyDescent="0.3">
      <c r="A160" s="12"/>
      <c r="B160" s="2"/>
      <c r="C160" s="15"/>
      <c r="D160" s="15"/>
      <c r="E160" s="26"/>
      <c r="F160" s="27"/>
      <c r="G160" s="27"/>
      <c r="I160" s="26"/>
      <c r="J160" s="26"/>
    </row>
    <row r="161" spans="1:16" ht="15.6" x14ac:dyDescent="0.3">
      <c r="A161" s="24"/>
      <c r="B161" s="25"/>
      <c r="C161" s="31">
        <f>SUM(C158:C159)</f>
        <v>1.2</v>
      </c>
      <c r="D161" s="31">
        <f>SUM(D158:D159)</f>
        <v>6</v>
      </c>
      <c r="E161" s="31"/>
      <c r="F161" s="31"/>
      <c r="G161" s="31"/>
      <c r="H161" s="31"/>
      <c r="I161" s="31"/>
      <c r="J161" s="31"/>
    </row>
    <row r="162" spans="1:16" ht="15.6" x14ac:dyDescent="0.3">
      <c r="A162" s="24"/>
      <c r="B162" s="25"/>
      <c r="C162" s="26"/>
      <c r="D162" s="26"/>
      <c r="E162" s="26"/>
      <c r="F162" s="26"/>
      <c r="G162" s="26"/>
      <c r="H162" s="26"/>
      <c r="I162" s="26"/>
      <c r="J162" s="26"/>
    </row>
    <row r="163" spans="1:16" ht="15.6" x14ac:dyDescent="0.3">
      <c r="A163" s="24"/>
      <c r="B163" s="25"/>
      <c r="C163" s="26"/>
      <c r="D163" s="26"/>
      <c r="E163" s="26"/>
      <c r="F163" s="26"/>
      <c r="G163" s="26"/>
      <c r="H163" s="26"/>
      <c r="I163" s="26"/>
      <c r="J163" s="26"/>
    </row>
    <row r="164" spans="1:16" x14ac:dyDescent="0.3">
      <c r="A164" s="24"/>
      <c r="B164" s="24"/>
      <c r="C164" s="24"/>
      <c r="D164" s="24"/>
      <c r="E164" s="24"/>
      <c r="F164" s="31">
        <f>SUM(F158:F160)</f>
        <v>7.2</v>
      </c>
      <c r="G164" s="24"/>
      <c r="H164" s="24"/>
      <c r="I164">
        <f>SUM(H158:H160)</f>
        <v>2</v>
      </c>
      <c r="J164" s="24"/>
    </row>
    <row r="165" spans="1:16" ht="15.6" x14ac:dyDescent="0.3">
      <c r="A165" s="24"/>
      <c r="B165" s="25"/>
      <c r="C165" s="26"/>
      <c r="D165" s="26"/>
      <c r="E165" s="26"/>
      <c r="F165" s="26"/>
      <c r="G165" s="26"/>
      <c r="H165" s="18" t="s">
        <v>18</v>
      </c>
      <c r="I165">
        <f>(I164-2)/1</f>
        <v>0</v>
      </c>
      <c r="J165" s="26"/>
    </row>
    <row r="166" spans="1:16" ht="15.6" x14ac:dyDescent="0.3">
      <c r="H166" s="21" t="s">
        <v>19</v>
      </c>
      <c r="I166">
        <f>(I165/0.58)</f>
        <v>0</v>
      </c>
      <c r="J166" s="28">
        <f>I166*100</f>
        <v>0</v>
      </c>
    </row>
    <row r="168" spans="1:16" x14ac:dyDescent="0.3">
      <c r="A168" s="65" t="s">
        <v>29</v>
      </c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</row>
    <row r="171" spans="1:16" x14ac:dyDescent="0.3">
      <c r="H171" s="24"/>
    </row>
    <row r="172" spans="1:16" ht="28.8" customHeight="1" x14ac:dyDescent="0.3">
      <c r="A172" s="63"/>
      <c r="B172" s="55" t="s">
        <v>44</v>
      </c>
      <c r="C172" s="56" t="s">
        <v>1</v>
      </c>
      <c r="D172" s="56"/>
      <c r="E172" s="56"/>
      <c r="F172" s="56"/>
      <c r="G172" s="56"/>
      <c r="H172" s="7"/>
    </row>
    <row r="173" spans="1:16" ht="15.6" x14ac:dyDescent="0.3">
      <c r="A173" s="64"/>
      <c r="B173" s="59"/>
      <c r="C173" s="33">
        <v>1</v>
      </c>
      <c r="D173" s="33">
        <v>2</v>
      </c>
      <c r="E173" s="33">
        <v>3</v>
      </c>
      <c r="F173" s="33">
        <v>4</v>
      </c>
      <c r="G173" s="33">
        <v>5</v>
      </c>
      <c r="H173" s="30"/>
    </row>
    <row r="174" spans="1:16" ht="15.6" x14ac:dyDescent="0.3">
      <c r="A174" s="12">
        <v>1</v>
      </c>
      <c r="B174" s="38" t="s">
        <v>30</v>
      </c>
      <c r="C174" s="37">
        <v>1</v>
      </c>
      <c r="D174" s="15">
        <v>3</v>
      </c>
      <c r="E174" s="15">
        <v>3</v>
      </c>
      <c r="F174" s="15">
        <v>5</v>
      </c>
      <c r="G174" s="15">
        <v>3</v>
      </c>
      <c r="H174" s="40">
        <f>SUM(C174:G174)</f>
        <v>15</v>
      </c>
      <c r="I174" s="27">
        <f>H174/$H$180</f>
        <v>0.32696699190367451</v>
      </c>
    </row>
    <row r="175" spans="1:16" ht="15.6" x14ac:dyDescent="0.3">
      <c r="A175" s="12">
        <v>2</v>
      </c>
      <c r="B175" s="2" t="s">
        <v>31</v>
      </c>
      <c r="C175" s="15">
        <v>0.33333333333333331</v>
      </c>
      <c r="D175" s="15">
        <v>1</v>
      </c>
      <c r="E175" s="15">
        <v>3</v>
      </c>
      <c r="F175" s="15">
        <v>3</v>
      </c>
      <c r="G175" s="15">
        <v>0.33333333333333331</v>
      </c>
      <c r="H175" s="40">
        <f t="shared" ref="H175:H178" si="21">SUM(C175:G175)</f>
        <v>7.6666666666666661</v>
      </c>
      <c r="I175" s="27">
        <f t="shared" ref="I175:I178" si="22">H175/$H$180</f>
        <v>0.16711646252854473</v>
      </c>
    </row>
    <row r="176" spans="1:16" ht="15.6" x14ac:dyDescent="0.3">
      <c r="A176" s="12">
        <v>3</v>
      </c>
      <c r="B176" s="2" t="s">
        <v>32</v>
      </c>
      <c r="C176" s="15">
        <v>0.33333333333333331</v>
      </c>
      <c r="D176" s="15">
        <v>0.33333333333333331</v>
      </c>
      <c r="E176" s="15">
        <v>1</v>
      </c>
      <c r="F176" s="15">
        <v>3</v>
      </c>
      <c r="G176" s="15">
        <v>0.2</v>
      </c>
      <c r="H176" s="40">
        <f t="shared" si="21"/>
        <v>4.8666666666666663</v>
      </c>
      <c r="I176" s="27">
        <f t="shared" si="22"/>
        <v>0.10608262403985882</v>
      </c>
    </row>
    <row r="177" spans="1:13" ht="15.6" x14ac:dyDescent="0.3">
      <c r="A177" s="12">
        <v>4</v>
      </c>
      <c r="B177" s="2" t="s">
        <v>33</v>
      </c>
      <c r="C177" s="15">
        <v>0.2</v>
      </c>
      <c r="D177" s="15">
        <v>0.33333333333333331</v>
      </c>
      <c r="E177" s="15">
        <v>0.33333333333333331</v>
      </c>
      <c r="F177" s="15">
        <v>1</v>
      </c>
      <c r="G177" s="15">
        <v>0.14285714285714285</v>
      </c>
      <c r="H177" s="40">
        <f t="shared" si="21"/>
        <v>2.0095238095238095</v>
      </c>
      <c r="I177" s="27">
        <f t="shared" si="22"/>
        <v>4.3803197010587505E-2</v>
      </c>
    </row>
    <row r="178" spans="1:13" ht="15.6" x14ac:dyDescent="0.3">
      <c r="A178" s="12">
        <v>5</v>
      </c>
      <c r="B178" s="2" t="s">
        <v>34</v>
      </c>
      <c r="C178" s="15">
        <v>0.33333333333333331</v>
      </c>
      <c r="D178" s="15">
        <v>3</v>
      </c>
      <c r="E178" s="15">
        <v>5</v>
      </c>
      <c r="F178" s="15">
        <v>7</v>
      </c>
      <c r="G178" s="15">
        <v>1</v>
      </c>
      <c r="H178" s="40">
        <f t="shared" si="21"/>
        <v>16.333333333333336</v>
      </c>
      <c r="I178" s="27">
        <f t="shared" si="22"/>
        <v>0.35603072451733453</v>
      </c>
    </row>
    <row r="179" spans="1:13" ht="15.6" x14ac:dyDescent="0.3">
      <c r="A179" s="24"/>
      <c r="B179" s="25"/>
      <c r="C179" s="26"/>
      <c r="D179" s="26"/>
      <c r="E179" s="26"/>
      <c r="F179" s="26"/>
      <c r="G179" s="26"/>
      <c r="H179" s="26"/>
      <c r="I179" s="24"/>
      <c r="J179" s="31"/>
    </row>
    <row r="180" spans="1:13" x14ac:dyDescent="0.3">
      <c r="C180" s="27"/>
      <c r="D180" s="27"/>
      <c r="E180" s="27"/>
      <c r="F180" s="27"/>
      <c r="G180" s="27"/>
      <c r="H180" s="41">
        <f>SUM(H174:H178)</f>
        <v>45.876190476190473</v>
      </c>
      <c r="I180" s="42">
        <f>SUM(I174:I178)</f>
        <v>1</v>
      </c>
    </row>
    <row r="181" spans="1:13" ht="15.6" x14ac:dyDescent="0.3">
      <c r="A181" s="24"/>
      <c r="B181" s="25"/>
      <c r="C181" s="26"/>
      <c r="D181" s="26"/>
      <c r="E181" s="26"/>
      <c r="F181" s="26"/>
      <c r="G181" s="26"/>
      <c r="H181" s="26"/>
      <c r="I181" s="26"/>
      <c r="J181" s="26"/>
      <c r="K181" s="20"/>
      <c r="L181" s="23"/>
    </row>
    <row r="182" spans="1:13" ht="15.6" x14ac:dyDescent="0.3">
      <c r="A182" s="65"/>
      <c r="B182" s="55" t="s">
        <v>45</v>
      </c>
      <c r="C182" s="56" t="s">
        <v>1</v>
      </c>
      <c r="D182" s="56"/>
      <c r="E182" s="56"/>
      <c r="F182" s="56"/>
      <c r="G182" s="56"/>
      <c r="H182" s="56"/>
      <c r="I182" s="56"/>
      <c r="J182" s="56"/>
      <c r="K182" s="56"/>
    </row>
    <row r="183" spans="1:13" ht="31.2" customHeight="1" x14ac:dyDescent="0.3">
      <c r="A183" s="65"/>
      <c r="B183" s="55"/>
      <c r="C183" s="33">
        <v>1</v>
      </c>
      <c r="D183" s="33">
        <v>2</v>
      </c>
      <c r="E183" s="33">
        <v>3</v>
      </c>
      <c r="F183" s="33">
        <v>4</v>
      </c>
      <c r="G183" s="33">
        <v>5</v>
      </c>
      <c r="H183" s="33">
        <v>6</v>
      </c>
      <c r="I183" s="13">
        <v>7</v>
      </c>
      <c r="J183" s="13">
        <v>8</v>
      </c>
      <c r="K183" s="33">
        <v>9</v>
      </c>
    </row>
    <row r="184" spans="1:13" ht="15.6" x14ac:dyDescent="0.3">
      <c r="A184" s="12">
        <v>1</v>
      </c>
      <c r="B184" s="2" t="s">
        <v>35</v>
      </c>
      <c r="C184" s="15">
        <v>1</v>
      </c>
      <c r="D184" s="15">
        <v>3</v>
      </c>
      <c r="E184" s="15">
        <v>5</v>
      </c>
      <c r="F184" s="15">
        <v>5</v>
      </c>
      <c r="G184" s="15">
        <v>3</v>
      </c>
      <c r="H184" s="15">
        <v>3</v>
      </c>
      <c r="I184" s="15">
        <v>7</v>
      </c>
      <c r="J184" s="15">
        <v>5</v>
      </c>
      <c r="K184" s="43">
        <v>3</v>
      </c>
      <c r="L184" s="40">
        <f>SUM(C184:K184)</f>
        <v>35</v>
      </c>
      <c r="M184" s="39">
        <f>L184/$L$194</f>
        <v>0.23477927553823544</v>
      </c>
    </row>
    <row r="185" spans="1:13" ht="15.6" x14ac:dyDescent="0.3">
      <c r="A185" s="12">
        <v>2</v>
      </c>
      <c r="B185" s="2" t="s">
        <v>36</v>
      </c>
      <c r="C185" s="15">
        <v>0.33333333333333331</v>
      </c>
      <c r="D185" s="15">
        <v>1</v>
      </c>
      <c r="E185" s="15">
        <v>3</v>
      </c>
      <c r="F185" s="15">
        <v>3</v>
      </c>
      <c r="G185" s="15">
        <v>0.33333333333333331</v>
      </c>
      <c r="H185" s="15">
        <v>0.33333333333333331</v>
      </c>
      <c r="I185" s="15">
        <v>5</v>
      </c>
      <c r="J185" s="15">
        <v>3</v>
      </c>
      <c r="K185" s="43">
        <v>0.33333333333333331</v>
      </c>
      <c r="L185" s="40">
        <f t="shared" ref="L185:L191" si="23">SUM(C185:K185)</f>
        <v>16.333333333333332</v>
      </c>
      <c r="M185" s="39">
        <f t="shared" ref="M185:M192" si="24">L185/$L$194</f>
        <v>0.1095636619178432</v>
      </c>
    </row>
    <row r="186" spans="1:13" ht="15.6" x14ac:dyDescent="0.3">
      <c r="A186" s="12">
        <v>3</v>
      </c>
      <c r="B186" s="2" t="s">
        <v>37</v>
      </c>
      <c r="C186" s="15">
        <v>0.2</v>
      </c>
      <c r="D186" s="15">
        <v>0.33333333333333331</v>
      </c>
      <c r="E186" s="15">
        <v>1</v>
      </c>
      <c r="F186" s="15">
        <v>1</v>
      </c>
      <c r="G186" s="15">
        <v>0.2</v>
      </c>
      <c r="H186" s="15">
        <v>0.2</v>
      </c>
      <c r="I186" s="15">
        <v>3</v>
      </c>
      <c r="J186" s="15">
        <v>1</v>
      </c>
      <c r="K186" s="43">
        <v>0.2</v>
      </c>
      <c r="L186" s="40">
        <f t="shared" si="23"/>
        <v>7.1333333333333337</v>
      </c>
      <c r="M186" s="39">
        <f t="shared" si="24"/>
        <v>4.7850252347792749E-2</v>
      </c>
    </row>
    <row r="187" spans="1:13" ht="15.6" x14ac:dyDescent="0.3">
      <c r="A187" s="12">
        <v>4</v>
      </c>
      <c r="B187" s="2" t="s">
        <v>38</v>
      </c>
      <c r="C187" s="15">
        <v>0.2</v>
      </c>
      <c r="D187" s="15">
        <v>0.33333333333333331</v>
      </c>
      <c r="E187" s="15">
        <v>1</v>
      </c>
      <c r="F187" s="15">
        <v>1</v>
      </c>
      <c r="G187" s="15">
        <v>0.2</v>
      </c>
      <c r="H187" s="15">
        <v>0.2</v>
      </c>
      <c r="I187" s="15">
        <v>3</v>
      </c>
      <c r="J187" s="15">
        <v>1</v>
      </c>
      <c r="K187" s="43">
        <v>0.2</v>
      </c>
      <c r="L187" s="40">
        <f t="shared" si="23"/>
        <v>7.1333333333333337</v>
      </c>
      <c r="M187" s="39">
        <f t="shared" si="24"/>
        <v>4.7850252347792749E-2</v>
      </c>
    </row>
    <row r="188" spans="1:13" ht="15.6" x14ac:dyDescent="0.3">
      <c r="A188" s="12">
        <v>5</v>
      </c>
      <c r="B188" s="2" t="s">
        <v>39</v>
      </c>
      <c r="C188" s="15">
        <v>0.33333333333333331</v>
      </c>
      <c r="D188" s="15">
        <v>3</v>
      </c>
      <c r="E188" s="15">
        <v>5</v>
      </c>
      <c r="F188" s="15">
        <v>5</v>
      </c>
      <c r="G188" s="15">
        <v>1</v>
      </c>
      <c r="H188" s="15">
        <v>1</v>
      </c>
      <c r="I188" s="15">
        <v>5</v>
      </c>
      <c r="J188" s="15">
        <v>3</v>
      </c>
      <c r="K188" s="43">
        <v>1</v>
      </c>
      <c r="L188" s="40">
        <f t="shared" si="23"/>
        <v>24.333333333333336</v>
      </c>
      <c r="M188" s="39">
        <f t="shared" si="24"/>
        <v>0.16322749632658276</v>
      </c>
    </row>
    <row r="189" spans="1:13" ht="15.6" x14ac:dyDescent="0.3">
      <c r="A189" s="12">
        <v>6</v>
      </c>
      <c r="B189" s="2" t="s">
        <v>40</v>
      </c>
      <c r="C189" s="15">
        <v>0.33333333333333331</v>
      </c>
      <c r="D189" s="15">
        <v>3</v>
      </c>
      <c r="E189" s="15">
        <v>5</v>
      </c>
      <c r="F189" s="15">
        <v>5</v>
      </c>
      <c r="G189" s="15">
        <v>1</v>
      </c>
      <c r="H189" s="15">
        <v>1</v>
      </c>
      <c r="I189" s="15">
        <v>5</v>
      </c>
      <c r="J189" s="15">
        <v>3</v>
      </c>
      <c r="K189" s="43">
        <v>1</v>
      </c>
      <c r="L189" s="40">
        <f t="shared" si="23"/>
        <v>24.333333333333336</v>
      </c>
      <c r="M189" s="39">
        <f t="shared" si="24"/>
        <v>0.16322749632658276</v>
      </c>
    </row>
    <row r="190" spans="1:13" ht="15.6" x14ac:dyDescent="0.3">
      <c r="A190" s="12">
        <v>7</v>
      </c>
      <c r="B190" s="2" t="s">
        <v>41</v>
      </c>
      <c r="C190" s="15">
        <v>0.14285714285714285</v>
      </c>
      <c r="D190" s="15">
        <v>0.2</v>
      </c>
      <c r="E190" s="15">
        <v>0.33333333333333331</v>
      </c>
      <c r="F190" s="15">
        <v>0.33333333333333331</v>
      </c>
      <c r="G190" s="15">
        <v>0.2</v>
      </c>
      <c r="H190" s="15">
        <v>0.2</v>
      </c>
      <c r="I190" s="15">
        <v>1</v>
      </c>
      <c r="J190" s="15">
        <v>0.33333333333333331</v>
      </c>
      <c r="K190" s="43">
        <v>0.2</v>
      </c>
      <c r="L190" s="40">
        <f t="shared" si="23"/>
        <v>2.9428571428571431</v>
      </c>
      <c r="M190" s="39">
        <f t="shared" si="24"/>
        <v>1.9740624800357758E-2</v>
      </c>
    </row>
    <row r="191" spans="1:13" ht="15.6" x14ac:dyDescent="0.3">
      <c r="A191" s="12">
        <v>8</v>
      </c>
      <c r="B191" s="2" t="s">
        <v>42</v>
      </c>
      <c r="C191" s="15">
        <v>0.2</v>
      </c>
      <c r="D191" s="15">
        <v>0.33333333333333331</v>
      </c>
      <c r="E191" s="15">
        <v>1</v>
      </c>
      <c r="F191" s="15">
        <v>1</v>
      </c>
      <c r="G191" s="15">
        <v>0.33333333333333331</v>
      </c>
      <c r="H191" s="15">
        <v>0.33333333333333331</v>
      </c>
      <c r="I191" s="15">
        <v>3</v>
      </c>
      <c r="J191" s="15">
        <v>1</v>
      </c>
      <c r="K191" s="43">
        <v>0.33333333333333331</v>
      </c>
      <c r="L191" s="40">
        <f t="shared" si="23"/>
        <v>7.5333333333333332</v>
      </c>
      <c r="M191" s="39">
        <f t="shared" si="24"/>
        <v>5.0533444068229724E-2</v>
      </c>
    </row>
    <row r="192" spans="1:13" ht="15.6" x14ac:dyDescent="0.3">
      <c r="A192" s="12">
        <v>9</v>
      </c>
      <c r="B192" s="2" t="s">
        <v>43</v>
      </c>
      <c r="C192" s="43">
        <v>0.33333333333333331</v>
      </c>
      <c r="D192" s="43">
        <v>3</v>
      </c>
      <c r="E192" s="43">
        <v>5</v>
      </c>
      <c r="F192" s="43">
        <v>5</v>
      </c>
      <c r="G192" s="43">
        <v>1</v>
      </c>
      <c r="H192" s="43">
        <v>1</v>
      </c>
      <c r="I192" s="43">
        <v>5</v>
      </c>
      <c r="J192" s="43">
        <v>3</v>
      </c>
      <c r="K192" s="43">
        <v>1</v>
      </c>
      <c r="L192" s="40">
        <f>SUM(C192:K192)</f>
        <v>24.333333333333336</v>
      </c>
      <c r="M192" s="39">
        <f t="shared" si="24"/>
        <v>0.16322749632658276</v>
      </c>
    </row>
    <row r="194" spans="1:13" x14ac:dyDescent="0.3">
      <c r="L194" s="40">
        <f>SUM(L184:L192)</f>
        <v>149.0761904761905</v>
      </c>
      <c r="M194" s="40">
        <f>SUM(M184:M192)</f>
        <v>0.99999999999999978</v>
      </c>
    </row>
    <row r="204" spans="1:13" ht="15.6" x14ac:dyDescent="0.3">
      <c r="A204" s="24"/>
      <c r="B204" s="25"/>
      <c r="C204" s="26"/>
      <c r="D204" s="26"/>
      <c r="E204" s="26"/>
      <c r="F204" s="26"/>
      <c r="G204" s="26"/>
      <c r="H204" s="26"/>
      <c r="I204" s="26"/>
      <c r="J204" s="26"/>
      <c r="K204" s="20"/>
      <c r="L204" s="23"/>
    </row>
    <row r="205" spans="1:13" ht="15.6" x14ac:dyDescent="0.3">
      <c r="A205" s="54"/>
      <c r="B205" s="55" t="s">
        <v>46</v>
      </c>
      <c r="C205" s="56" t="s">
        <v>1</v>
      </c>
      <c r="D205" s="56"/>
      <c r="E205" s="56"/>
      <c r="F205" s="56"/>
      <c r="G205" s="56"/>
      <c r="H205" s="56"/>
      <c r="I205" s="56"/>
      <c r="J205" s="56"/>
      <c r="K205" s="56"/>
      <c r="L205" s="1"/>
      <c r="M205" s="1"/>
    </row>
    <row r="206" spans="1:13" ht="29.4" customHeight="1" x14ac:dyDescent="0.3">
      <c r="A206" s="54"/>
      <c r="B206" s="55"/>
      <c r="C206" s="35">
        <v>1</v>
      </c>
      <c r="D206" s="35">
        <v>2</v>
      </c>
      <c r="E206" s="35">
        <v>3</v>
      </c>
      <c r="F206" s="35">
        <v>4</v>
      </c>
      <c r="G206" s="35">
        <v>5</v>
      </c>
      <c r="H206" s="35">
        <v>6</v>
      </c>
      <c r="I206" s="44">
        <v>7</v>
      </c>
      <c r="J206" s="44">
        <v>8</v>
      </c>
      <c r="K206" s="35">
        <v>9</v>
      </c>
      <c r="L206" s="1"/>
      <c r="M206" s="1"/>
    </row>
    <row r="207" spans="1:13" ht="15.6" x14ac:dyDescent="0.3">
      <c r="A207" s="2">
        <v>1</v>
      </c>
      <c r="B207" s="2" t="s">
        <v>35</v>
      </c>
      <c r="C207" s="15">
        <v>1</v>
      </c>
      <c r="D207" s="15">
        <v>3</v>
      </c>
      <c r="E207" s="15">
        <v>5</v>
      </c>
      <c r="F207" s="15">
        <v>5</v>
      </c>
      <c r="G207" s="15">
        <v>3</v>
      </c>
      <c r="H207" s="15">
        <v>3</v>
      </c>
      <c r="I207" s="15">
        <v>7</v>
      </c>
      <c r="J207" s="15">
        <v>5</v>
      </c>
      <c r="K207" s="46">
        <v>3</v>
      </c>
      <c r="L207" s="47">
        <f>SUM(C207:K207)</f>
        <v>35</v>
      </c>
      <c r="M207" s="68">
        <f>L207/$L$217</f>
        <v>0.23477927553823544</v>
      </c>
    </row>
    <row r="208" spans="1:13" ht="15.6" x14ac:dyDescent="0.3">
      <c r="A208" s="2">
        <v>2</v>
      </c>
      <c r="B208" s="2" t="s">
        <v>36</v>
      </c>
      <c r="C208" s="15">
        <v>0.33333333333333331</v>
      </c>
      <c r="D208" s="15">
        <v>1</v>
      </c>
      <c r="E208" s="15">
        <v>3</v>
      </c>
      <c r="F208" s="15">
        <v>3</v>
      </c>
      <c r="G208" s="15">
        <v>0.33333333333333331</v>
      </c>
      <c r="H208" s="15">
        <v>0.33333333333333331</v>
      </c>
      <c r="I208" s="15">
        <v>5</v>
      </c>
      <c r="J208" s="15">
        <v>3</v>
      </c>
      <c r="K208" s="46">
        <v>0.33333333333333331</v>
      </c>
      <c r="L208" s="47">
        <f t="shared" ref="L208:L214" si="25">SUM(C208:K208)</f>
        <v>16.333333333333332</v>
      </c>
      <c r="M208" s="68">
        <f t="shared" ref="M208:M215" si="26">L208/$L$217</f>
        <v>0.1095636619178432</v>
      </c>
    </row>
    <row r="209" spans="1:13" ht="15.6" x14ac:dyDescent="0.3">
      <c r="A209" s="2">
        <v>3</v>
      </c>
      <c r="B209" s="2" t="s">
        <v>37</v>
      </c>
      <c r="C209" s="15">
        <v>0.2</v>
      </c>
      <c r="D209" s="15">
        <v>0.33333333333333331</v>
      </c>
      <c r="E209" s="15">
        <v>1</v>
      </c>
      <c r="F209" s="15">
        <v>1</v>
      </c>
      <c r="G209" s="15">
        <v>0.2</v>
      </c>
      <c r="H209" s="15">
        <v>0.2</v>
      </c>
      <c r="I209" s="15">
        <v>3</v>
      </c>
      <c r="J209" s="15">
        <v>1</v>
      </c>
      <c r="K209" s="46">
        <v>0.2</v>
      </c>
      <c r="L209" s="47">
        <f t="shared" si="25"/>
        <v>7.1333333333333337</v>
      </c>
      <c r="M209" s="68">
        <f t="shared" si="26"/>
        <v>4.7850252347792749E-2</v>
      </c>
    </row>
    <row r="210" spans="1:13" ht="15.6" x14ac:dyDescent="0.3">
      <c r="A210" s="2">
        <v>4</v>
      </c>
      <c r="B210" s="2" t="s">
        <v>38</v>
      </c>
      <c r="C210" s="15">
        <v>0.2</v>
      </c>
      <c r="D210" s="15">
        <v>0.33333333333333331</v>
      </c>
      <c r="E210" s="15">
        <v>1</v>
      </c>
      <c r="F210" s="15">
        <v>1</v>
      </c>
      <c r="G210" s="15">
        <v>0.2</v>
      </c>
      <c r="H210" s="15">
        <v>0.2</v>
      </c>
      <c r="I210" s="15">
        <v>3</v>
      </c>
      <c r="J210" s="15">
        <v>1</v>
      </c>
      <c r="K210" s="46">
        <v>0.2</v>
      </c>
      <c r="L210" s="47">
        <f t="shared" si="25"/>
        <v>7.1333333333333337</v>
      </c>
      <c r="M210" s="68">
        <f t="shared" si="26"/>
        <v>4.7850252347792749E-2</v>
      </c>
    </row>
    <row r="211" spans="1:13" ht="15.6" x14ac:dyDescent="0.3">
      <c r="A211" s="2">
        <v>5</v>
      </c>
      <c r="B211" s="2" t="s">
        <v>39</v>
      </c>
      <c r="C211" s="15">
        <v>0.33333333333333331</v>
      </c>
      <c r="D211" s="15">
        <v>3</v>
      </c>
      <c r="E211" s="15">
        <v>5</v>
      </c>
      <c r="F211" s="15">
        <v>5</v>
      </c>
      <c r="G211" s="15">
        <v>1</v>
      </c>
      <c r="H211" s="15">
        <v>1</v>
      </c>
      <c r="I211" s="15">
        <v>5</v>
      </c>
      <c r="J211" s="15">
        <v>3</v>
      </c>
      <c r="K211" s="46">
        <v>1</v>
      </c>
      <c r="L211" s="47">
        <f t="shared" si="25"/>
        <v>24.333333333333336</v>
      </c>
      <c r="M211" s="68">
        <f t="shared" si="26"/>
        <v>0.16322749632658276</v>
      </c>
    </row>
    <row r="212" spans="1:13" ht="15.6" x14ac:dyDescent="0.3">
      <c r="A212" s="2">
        <v>6</v>
      </c>
      <c r="B212" s="2" t="s">
        <v>40</v>
      </c>
      <c r="C212" s="15">
        <v>0.33333333333333331</v>
      </c>
      <c r="D212" s="15">
        <v>3</v>
      </c>
      <c r="E212" s="15">
        <v>5</v>
      </c>
      <c r="F212" s="15">
        <v>5</v>
      </c>
      <c r="G212" s="15">
        <v>1</v>
      </c>
      <c r="H212" s="15">
        <v>1</v>
      </c>
      <c r="I212" s="15">
        <v>5</v>
      </c>
      <c r="J212" s="15">
        <v>3</v>
      </c>
      <c r="K212" s="46">
        <v>1</v>
      </c>
      <c r="L212" s="47">
        <f t="shared" si="25"/>
        <v>24.333333333333336</v>
      </c>
      <c r="M212" s="68">
        <f t="shared" si="26"/>
        <v>0.16322749632658276</v>
      </c>
    </row>
    <row r="213" spans="1:13" ht="15.6" x14ac:dyDescent="0.3">
      <c r="A213" s="2">
        <v>7</v>
      </c>
      <c r="B213" s="2" t="s">
        <v>41</v>
      </c>
      <c r="C213" s="15">
        <v>0.14285714285714285</v>
      </c>
      <c r="D213" s="15">
        <v>0.2</v>
      </c>
      <c r="E213" s="15">
        <v>0.33333333333333331</v>
      </c>
      <c r="F213" s="15">
        <v>0.33333333333333331</v>
      </c>
      <c r="G213" s="15">
        <v>0.2</v>
      </c>
      <c r="H213" s="15">
        <v>0.2</v>
      </c>
      <c r="I213" s="15">
        <v>1</v>
      </c>
      <c r="J213" s="15">
        <v>0.33333333333333331</v>
      </c>
      <c r="K213" s="46">
        <v>0.2</v>
      </c>
      <c r="L213" s="47">
        <f t="shared" si="25"/>
        <v>2.9428571428571431</v>
      </c>
      <c r="M213" s="68">
        <f t="shared" si="26"/>
        <v>1.9740624800357758E-2</v>
      </c>
    </row>
    <row r="214" spans="1:13" ht="15.6" x14ac:dyDescent="0.3">
      <c r="A214" s="2">
        <v>8</v>
      </c>
      <c r="B214" s="2" t="s">
        <v>42</v>
      </c>
      <c r="C214" s="15">
        <v>0.2</v>
      </c>
      <c r="D214" s="15">
        <v>0.33333333333333331</v>
      </c>
      <c r="E214" s="15">
        <v>1</v>
      </c>
      <c r="F214" s="15">
        <v>1</v>
      </c>
      <c r="G214" s="15">
        <v>0.33333333333333331</v>
      </c>
      <c r="H214" s="15">
        <v>0.33333333333333331</v>
      </c>
      <c r="I214" s="15">
        <v>3</v>
      </c>
      <c r="J214" s="15">
        <v>1</v>
      </c>
      <c r="K214" s="46">
        <v>0.33333333333333331</v>
      </c>
      <c r="L214" s="47">
        <f t="shared" si="25"/>
        <v>7.5333333333333332</v>
      </c>
      <c r="M214" s="68">
        <f t="shared" si="26"/>
        <v>5.0533444068229724E-2</v>
      </c>
    </row>
    <row r="215" spans="1:13" ht="15.6" x14ac:dyDescent="0.3">
      <c r="A215" s="2">
        <v>9</v>
      </c>
      <c r="B215" s="2" t="s">
        <v>43</v>
      </c>
      <c r="C215" s="46">
        <v>0.33333333333333331</v>
      </c>
      <c r="D215" s="46">
        <v>3</v>
      </c>
      <c r="E215" s="46">
        <v>5</v>
      </c>
      <c r="F215" s="46">
        <v>5</v>
      </c>
      <c r="G215" s="46">
        <v>1</v>
      </c>
      <c r="H215" s="46">
        <v>1</v>
      </c>
      <c r="I215" s="46">
        <v>5</v>
      </c>
      <c r="J215" s="46">
        <v>3</v>
      </c>
      <c r="K215" s="46">
        <v>1</v>
      </c>
      <c r="L215" s="47">
        <f>SUM(C215:K215)</f>
        <v>24.333333333333336</v>
      </c>
      <c r="M215" s="68">
        <f t="shared" si="26"/>
        <v>0.16322749632658276</v>
      </c>
    </row>
    <row r="216" spans="1:13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47"/>
      <c r="M216" s="47"/>
    </row>
    <row r="217" spans="1:13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47">
        <f>SUM(L207:L215)</f>
        <v>149.0761904761905</v>
      </c>
      <c r="M217" s="47">
        <f>SUM(M207:M215)</f>
        <v>0.99999999999999978</v>
      </c>
    </row>
    <row r="220" spans="1:13" ht="15.6" x14ac:dyDescent="0.3">
      <c r="A220" s="57"/>
      <c r="B220" s="55" t="s">
        <v>56</v>
      </c>
      <c r="C220" s="56" t="s">
        <v>1</v>
      </c>
      <c r="D220" s="56"/>
      <c r="E220" s="56"/>
      <c r="F220" s="56"/>
      <c r="G220" s="56"/>
      <c r="H220" s="7"/>
      <c r="I220" s="1"/>
    </row>
    <row r="221" spans="1:13" ht="28.8" customHeight="1" x14ac:dyDescent="0.3">
      <c r="A221" s="58"/>
      <c r="B221" s="59"/>
      <c r="C221" s="35">
        <v>1</v>
      </c>
      <c r="D221" s="35">
        <v>2</v>
      </c>
      <c r="E221" s="35">
        <v>3</v>
      </c>
      <c r="F221" s="35">
        <v>4</v>
      </c>
      <c r="G221" s="35">
        <v>5</v>
      </c>
      <c r="H221" s="30"/>
      <c r="I221" s="1"/>
    </row>
    <row r="222" spans="1:13" ht="15.6" x14ac:dyDescent="0.3">
      <c r="A222" s="2">
        <v>1</v>
      </c>
      <c r="B222" s="38" t="s">
        <v>30</v>
      </c>
      <c r="C222" s="37">
        <v>1</v>
      </c>
      <c r="D222" s="15">
        <v>3</v>
      </c>
      <c r="E222" s="15">
        <v>3</v>
      </c>
      <c r="F222" s="15">
        <v>5</v>
      </c>
      <c r="G222" s="15">
        <v>3</v>
      </c>
      <c r="H222" s="47">
        <f>SUM(C222:G222)</f>
        <v>15</v>
      </c>
      <c r="I222" s="68">
        <f>H222/$H$228</f>
        <v>0.32696699190367451</v>
      </c>
    </row>
    <row r="223" spans="1:13" ht="15.6" x14ac:dyDescent="0.3">
      <c r="A223" s="2">
        <v>2</v>
      </c>
      <c r="B223" s="2" t="s">
        <v>31</v>
      </c>
      <c r="C223" s="15">
        <v>0.33333333333333331</v>
      </c>
      <c r="D223" s="15">
        <v>1</v>
      </c>
      <c r="E223" s="15">
        <v>3</v>
      </c>
      <c r="F223" s="15">
        <v>3</v>
      </c>
      <c r="G223" s="15">
        <v>0.33333333333333331</v>
      </c>
      <c r="H223" s="47">
        <f t="shared" ref="H223:H226" si="27">SUM(C223:G223)</f>
        <v>7.6666666666666661</v>
      </c>
      <c r="I223" s="68">
        <f t="shared" ref="I223:I226" si="28">H223/$H$228</f>
        <v>0.16711646252854473</v>
      </c>
    </row>
    <row r="224" spans="1:13" ht="15.6" x14ac:dyDescent="0.3">
      <c r="A224" s="2">
        <v>3</v>
      </c>
      <c r="B224" s="2" t="s">
        <v>32</v>
      </c>
      <c r="C224" s="15">
        <v>0.33333333333333331</v>
      </c>
      <c r="D224" s="15">
        <v>0.33333333333333331</v>
      </c>
      <c r="E224" s="15">
        <v>1</v>
      </c>
      <c r="F224" s="15">
        <v>3</v>
      </c>
      <c r="G224" s="15">
        <v>0.2</v>
      </c>
      <c r="H224" s="47">
        <f t="shared" si="27"/>
        <v>4.8666666666666663</v>
      </c>
      <c r="I224" s="68">
        <f t="shared" si="28"/>
        <v>0.10608262403985882</v>
      </c>
    </row>
    <row r="225" spans="1:9" ht="15.6" x14ac:dyDescent="0.3">
      <c r="A225" s="2">
        <v>4</v>
      </c>
      <c r="B225" s="2" t="s">
        <v>33</v>
      </c>
      <c r="C225" s="15">
        <v>0.2</v>
      </c>
      <c r="D225" s="15">
        <v>0.33333333333333331</v>
      </c>
      <c r="E225" s="15">
        <v>0.33333333333333331</v>
      </c>
      <c r="F225" s="15">
        <v>1</v>
      </c>
      <c r="G225" s="15">
        <v>0.14285714285714285</v>
      </c>
      <c r="H225" s="47">
        <f t="shared" si="27"/>
        <v>2.0095238095238095</v>
      </c>
      <c r="I225" s="68">
        <f t="shared" si="28"/>
        <v>4.3803197010587505E-2</v>
      </c>
    </row>
    <row r="226" spans="1:9" ht="15.6" x14ac:dyDescent="0.3">
      <c r="A226" s="2">
        <v>5</v>
      </c>
      <c r="B226" s="2" t="s">
        <v>34</v>
      </c>
      <c r="C226" s="15">
        <v>0.33333333333333331</v>
      </c>
      <c r="D226" s="15">
        <v>3</v>
      </c>
      <c r="E226" s="15">
        <v>5</v>
      </c>
      <c r="F226" s="15">
        <v>7</v>
      </c>
      <c r="G226" s="15">
        <v>1</v>
      </c>
      <c r="H226" s="47">
        <f t="shared" si="27"/>
        <v>16.333333333333336</v>
      </c>
      <c r="I226" s="68">
        <f t="shared" si="28"/>
        <v>0.35603072451733453</v>
      </c>
    </row>
    <row r="227" spans="1:9" ht="15.6" x14ac:dyDescent="0.3">
      <c r="A227" s="25"/>
      <c r="B227" s="25"/>
      <c r="C227" s="26"/>
      <c r="D227" s="26"/>
      <c r="E227" s="26"/>
      <c r="F227" s="26"/>
      <c r="G227" s="26"/>
      <c r="H227" s="50"/>
      <c r="I227" s="48"/>
    </row>
    <row r="228" spans="1:9" ht="15.6" x14ac:dyDescent="0.3">
      <c r="A228" s="1"/>
      <c r="B228" s="1"/>
      <c r="C228" s="45"/>
      <c r="D228" s="45"/>
      <c r="E228" s="45"/>
      <c r="F228" s="45"/>
      <c r="G228" s="45"/>
      <c r="H228" s="48">
        <f>SUM(H222:H226)</f>
        <v>45.876190476190473</v>
      </c>
      <c r="I228" s="49">
        <f>SUM(I222:I226)</f>
        <v>1</v>
      </c>
    </row>
    <row r="230" spans="1:9" x14ac:dyDescent="0.3">
      <c r="G230" s="24"/>
    </row>
    <row r="231" spans="1:9" ht="15.6" x14ac:dyDescent="0.3">
      <c r="A231" s="54"/>
      <c r="B231" s="55" t="s">
        <v>47</v>
      </c>
      <c r="C231" s="51" t="s">
        <v>1</v>
      </c>
      <c r="D231" s="52"/>
      <c r="E231" s="52"/>
      <c r="F231" s="53"/>
      <c r="G231" s="7"/>
      <c r="H231" s="7"/>
      <c r="I231" s="1"/>
    </row>
    <row r="232" spans="1:9" ht="28.2" customHeight="1" x14ac:dyDescent="0.3">
      <c r="A232" s="54"/>
      <c r="B232" s="55"/>
      <c r="C232" s="36">
        <v>1</v>
      </c>
      <c r="D232" s="36">
        <v>2</v>
      </c>
      <c r="E232" s="36">
        <v>3</v>
      </c>
      <c r="F232" s="36">
        <v>4</v>
      </c>
      <c r="G232" s="5"/>
      <c r="H232" s="30"/>
      <c r="I232" s="1"/>
    </row>
    <row r="233" spans="1:9" ht="15.6" x14ac:dyDescent="0.3">
      <c r="A233" s="2">
        <v>1</v>
      </c>
      <c r="B233" s="38" t="s">
        <v>48</v>
      </c>
      <c r="C233" s="15">
        <v>1</v>
      </c>
      <c r="D233" s="15">
        <v>3</v>
      </c>
      <c r="E233" s="15">
        <v>3</v>
      </c>
      <c r="F233" s="15">
        <v>0.33333333333333331</v>
      </c>
      <c r="G233" s="47">
        <f>SUM(C233:F233)</f>
        <v>7.333333333333333</v>
      </c>
      <c r="H233" s="68">
        <f>G233/$G$238</f>
        <v>0.27777777777777779</v>
      </c>
    </row>
    <row r="234" spans="1:9" ht="15.6" x14ac:dyDescent="0.3">
      <c r="A234" s="2">
        <v>2</v>
      </c>
      <c r="B234" s="2" t="s">
        <v>49</v>
      </c>
      <c r="C234" s="15">
        <v>0.33333333333333331</v>
      </c>
      <c r="D234" s="15">
        <v>1</v>
      </c>
      <c r="E234" s="15">
        <v>1</v>
      </c>
      <c r="F234" s="15">
        <v>0.2</v>
      </c>
      <c r="G234" s="47">
        <f>SUM(C234:F234)</f>
        <v>2.5333333333333332</v>
      </c>
      <c r="H234" s="68">
        <f t="shared" ref="H234:H236" si="29">G234/$G$238</f>
        <v>9.5959595959595967E-2</v>
      </c>
    </row>
    <row r="235" spans="1:9" ht="15.6" x14ac:dyDescent="0.3">
      <c r="A235" s="2">
        <v>3</v>
      </c>
      <c r="B235" s="2" t="s">
        <v>50</v>
      </c>
      <c r="C235" s="15">
        <v>0.33333333333333331</v>
      </c>
      <c r="D235" s="15">
        <v>1</v>
      </c>
      <c r="E235" s="15">
        <v>1</v>
      </c>
      <c r="F235" s="15">
        <v>0.2</v>
      </c>
      <c r="G235" s="47">
        <f t="shared" ref="G235" si="30">SUM(C235:F235)</f>
        <v>2.5333333333333332</v>
      </c>
      <c r="H235" s="68">
        <f t="shared" si="29"/>
        <v>9.5959595959595967E-2</v>
      </c>
    </row>
    <row r="236" spans="1:9" ht="15.6" x14ac:dyDescent="0.3">
      <c r="A236" s="2">
        <v>4</v>
      </c>
      <c r="B236" s="2" t="s">
        <v>51</v>
      </c>
      <c r="C236" s="15">
        <v>3</v>
      </c>
      <c r="D236" s="15">
        <v>5</v>
      </c>
      <c r="E236" s="15">
        <v>5</v>
      </c>
      <c r="F236" s="15">
        <v>1</v>
      </c>
      <c r="G236" s="47">
        <f>SUM(C236:F236)</f>
        <v>14</v>
      </c>
      <c r="H236" s="68">
        <f t="shared" si="29"/>
        <v>0.53030303030303028</v>
      </c>
    </row>
    <row r="237" spans="1:9" ht="15.6" x14ac:dyDescent="0.3">
      <c r="A237" s="25"/>
      <c r="B237" s="25"/>
      <c r="C237" s="26"/>
      <c r="D237" s="26"/>
      <c r="E237" s="26"/>
      <c r="F237" s="26"/>
      <c r="G237" s="47"/>
      <c r="H237" s="47"/>
    </row>
    <row r="238" spans="1:9" ht="15.6" x14ac:dyDescent="0.3">
      <c r="A238" s="25"/>
      <c r="B238" s="25"/>
      <c r="C238" s="26"/>
      <c r="D238" s="26"/>
      <c r="E238" s="26"/>
      <c r="F238" s="26"/>
      <c r="G238" s="48">
        <f>SUM(G233:G236)</f>
        <v>26.4</v>
      </c>
      <c r="H238" s="49">
        <f>SUM(H233:H236)</f>
        <v>1</v>
      </c>
    </row>
    <row r="239" spans="1:9" x14ac:dyDescent="0.3">
      <c r="C239" s="27"/>
      <c r="D239" s="27"/>
      <c r="E239" s="27"/>
      <c r="F239" s="27"/>
      <c r="G239" s="31"/>
    </row>
    <row r="240" spans="1:9" x14ac:dyDescent="0.3">
      <c r="G240" s="24"/>
    </row>
    <row r="241" spans="1:9" x14ac:dyDescent="0.3">
      <c r="G241" s="24"/>
    </row>
    <row r="242" spans="1:9" x14ac:dyDescent="0.3">
      <c r="G242" s="24"/>
    </row>
    <row r="243" spans="1:9" ht="15.6" x14ac:dyDescent="0.3">
      <c r="A243" s="54"/>
      <c r="B243" s="55" t="s">
        <v>57</v>
      </c>
      <c r="C243" s="51" t="s">
        <v>1</v>
      </c>
      <c r="D243" s="52"/>
      <c r="E243" s="52"/>
      <c r="F243" s="53"/>
      <c r="G243" s="7"/>
      <c r="H243" s="7"/>
      <c r="I243" s="1"/>
    </row>
    <row r="244" spans="1:9" ht="34.799999999999997" customHeight="1" x14ac:dyDescent="0.3">
      <c r="A244" s="54"/>
      <c r="B244" s="55"/>
      <c r="C244" s="36">
        <v>1</v>
      </c>
      <c r="D244" s="36">
        <v>2</v>
      </c>
      <c r="E244" s="36">
        <v>3</v>
      </c>
      <c r="F244" s="36">
        <v>4</v>
      </c>
      <c r="G244" s="5"/>
      <c r="H244" s="30"/>
      <c r="I244" s="1"/>
    </row>
    <row r="245" spans="1:9" ht="15.6" x14ac:dyDescent="0.3">
      <c r="A245" s="2">
        <v>1</v>
      </c>
      <c r="B245" s="38" t="s">
        <v>52</v>
      </c>
      <c r="C245" s="15">
        <v>1</v>
      </c>
      <c r="D245" s="15">
        <v>3</v>
      </c>
      <c r="E245" s="15">
        <v>3</v>
      </c>
      <c r="F245" s="15">
        <v>1</v>
      </c>
      <c r="G245" s="47">
        <f>SUM(C245:F245)</f>
        <v>8</v>
      </c>
      <c r="H245" s="68">
        <f>G245/$G$250</f>
        <v>0.375</v>
      </c>
    </row>
    <row r="246" spans="1:9" ht="15.6" x14ac:dyDescent="0.3">
      <c r="A246" s="2">
        <v>2</v>
      </c>
      <c r="B246" s="2" t="s">
        <v>53</v>
      </c>
      <c r="C246" s="15">
        <v>0.33333333333333331</v>
      </c>
      <c r="D246" s="15">
        <v>1</v>
      </c>
      <c r="E246" s="15">
        <v>1</v>
      </c>
      <c r="F246" s="15">
        <v>0.33333333333333331</v>
      </c>
      <c r="G246" s="47">
        <f>SUM(C246:F246)</f>
        <v>2.6666666666666665</v>
      </c>
      <c r="H246" s="68">
        <f t="shared" ref="H246:H248" si="31">G246/$G$250</f>
        <v>0.125</v>
      </c>
    </row>
    <row r="247" spans="1:9" ht="15.6" x14ac:dyDescent="0.3">
      <c r="A247" s="2">
        <v>3</v>
      </c>
      <c r="B247" s="2" t="s">
        <v>54</v>
      </c>
      <c r="C247" s="15">
        <v>0.33333333333333331</v>
      </c>
      <c r="D247" s="15">
        <v>1</v>
      </c>
      <c r="E247" s="15">
        <v>1</v>
      </c>
      <c r="F247" s="15">
        <v>0.33333333333333331</v>
      </c>
      <c r="G247" s="47">
        <f>SUM(C247:F247)</f>
        <v>2.6666666666666665</v>
      </c>
      <c r="H247" s="68">
        <f t="shared" si="31"/>
        <v>0.125</v>
      </c>
    </row>
    <row r="248" spans="1:9" ht="15.6" x14ac:dyDescent="0.3">
      <c r="A248" s="2">
        <v>4</v>
      </c>
      <c r="B248" s="2" t="s">
        <v>55</v>
      </c>
      <c r="C248" s="15">
        <v>1</v>
      </c>
      <c r="D248" s="15">
        <v>3</v>
      </c>
      <c r="E248" s="15">
        <v>3</v>
      </c>
      <c r="F248" s="15">
        <v>1</v>
      </c>
      <c r="G248" s="47">
        <f>SUM(C248:F248)</f>
        <v>8</v>
      </c>
      <c r="H248" s="68">
        <f t="shared" si="31"/>
        <v>0.375</v>
      </c>
    </row>
    <row r="249" spans="1:9" ht="15.6" x14ac:dyDescent="0.3">
      <c r="A249" s="25"/>
      <c r="B249" s="25"/>
      <c r="C249" s="26"/>
      <c r="D249" s="26"/>
      <c r="E249" s="26"/>
      <c r="F249" s="26"/>
      <c r="G249" s="47"/>
      <c r="H249" s="47"/>
    </row>
    <row r="250" spans="1:9" ht="15.6" x14ac:dyDescent="0.3">
      <c r="A250" s="25"/>
      <c r="B250" s="25"/>
      <c r="C250" s="26"/>
      <c r="D250" s="26"/>
      <c r="E250" s="26"/>
      <c r="F250" s="26"/>
      <c r="G250" s="48">
        <f>SUM(G245:G248)</f>
        <v>21.333333333333332</v>
      </c>
      <c r="H250" s="49">
        <f>SUM(H245:H249)</f>
        <v>1</v>
      </c>
    </row>
    <row r="251" spans="1:9" x14ac:dyDescent="0.3">
      <c r="C251" s="27"/>
      <c r="D251" s="27"/>
      <c r="E251" s="27"/>
      <c r="F251" s="27"/>
      <c r="G251" s="27"/>
    </row>
  </sheetData>
  <mergeCells count="51">
    <mergeCell ref="A182:A183"/>
    <mergeCell ref="B182:B183"/>
    <mergeCell ref="C182:K182"/>
    <mergeCell ref="A168:P168"/>
    <mergeCell ref="A172:A173"/>
    <mergeCell ref="B172:B173"/>
    <mergeCell ref="C172:G172"/>
    <mergeCell ref="A156:A157"/>
    <mergeCell ref="B156:B157"/>
    <mergeCell ref="C156:D156"/>
    <mergeCell ref="A96:O96"/>
    <mergeCell ref="A142:A143"/>
    <mergeCell ref="B142:B143"/>
    <mergeCell ref="C142:E142"/>
    <mergeCell ref="A100:A101"/>
    <mergeCell ref="B100:B101"/>
    <mergeCell ref="C100:J100"/>
    <mergeCell ref="A121:A122"/>
    <mergeCell ref="B121:B122"/>
    <mergeCell ref="C121:J121"/>
    <mergeCell ref="B77:B78"/>
    <mergeCell ref="C77:J77"/>
    <mergeCell ref="A77:A78"/>
    <mergeCell ref="A50:A51"/>
    <mergeCell ref="B50:B51"/>
    <mergeCell ref="C50:F50"/>
    <mergeCell ref="A63:A64"/>
    <mergeCell ref="B63:B64"/>
    <mergeCell ref="C63:F63"/>
    <mergeCell ref="J15:J16"/>
    <mergeCell ref="A38:A39"/>
    <mergeCell ref="B38:B39"/>
    <mergeCell ref="C38:H38"/>
    <mergeCell ref="B2:B3"/>
    <mergeCell ref="C2:H2"/>
    <mergeCell ref="A2:A3"/>
    <mergeCell ref="A15:A16"/>
    <mergeCell ref="B15:B16"/>
    <mergeCell ref="C15:F15"/>
    <mergeCell ref="A205:A206"/>
    <mergeCell ref="B205:B206"/>
    <mergeCell ref="C205:K205"/>
    <mergeCell ref="A220:A221"/>
    <mergeCell ref="B220:B221"/>
    <mergeCell ref="C220:G220"/>
    <mergeCell ref="C231:F231"/>
    <mergeCell ref="C243:F243"/>
    <mergeCell ref="A231:A232"/>
    <mergeCell ref="B231:B232"/>
    <mergeCell ref="A243:A244"/>
    <mergeCell ref="B243:B244"/>
  </mergeCells>
  <pageMargins left="0.7" right="0.7" top="0.75" bottom="0.75" header="0.3" footer="0.3"/>
  <pageSetup paperSize="9" orientation="portrait" r:id="rId1"/>
  <ignoredErrors>
    <ignoredError sqref="C61 D61:F6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2026-02-13T05:55:45Z</dcterms:created>
  <dcterms:modified xsi:type="dcterms:W3CDTF">2026-03-21T13:37:46Z</dcterms:modified>
</cp:coreProperties>
</file>